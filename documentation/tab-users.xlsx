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ekt-office\officeApps\"/>
    </mc:Choice>
  </mc:AlternateContent>
  <xr:revisionPtr revIDLastSave="0" documentId="8_{120D109A-4425-41D2-99DA-B64D14825BAB}" xr6:coauthVersionLast="47" xr6:coauthVersionMax="47" xr10:uidLastSave="{00000000-0000-0000-0000-000000000000}"/>
  <bookViews>
    <workbookView xWindow="38280" yWindow="-120" windowWidth="29040" windowHeight="15720" xr2:uid="{EF605C36-87CB-4992-A252-0E27C4912AA1}"/>
  </bookViews>
  <sheets>
    <sheet name="Pregled_na_SISTEMATIZACIJA_na_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</calcChain>
</file>

<file path=xl/sharedStrings.xml><?xml version="1.0" encoding="utf-8"?>
<sst xmlns="http://schemas.openxmlformats.org/spreadsheetml/2006/main" count="3318" uniqueCount="1315">
  <si>
    <t>Преглед на СИСТЕМАТИЗАЦИЈА на вработени до датум 11.11.2025</t>
  </si>
  <si>
    <t xml:space="preserve"> </t>
  </si>
  <si>
    <t>Рб</t>
  </si>
  <si>
    <t>Перс.број</t>
  </si>
  <si>
    <t>Презиме</t>
  </si>
  <si>
    <t>Име</t>
  </si>
  <si>
    <t>Презиме ЕНГ</t>
  </si>
  <si>
    <t>Име ЕНГ</t>
  </si>
  <si>
    <t>Пол</t>
  </si>
  <si>
    <t>Раб.место опис</t>
  </si>
  <si>
    <t>Раб.место опис ЕНГ</t>
  </si>
  <si>
    <t>Тип на РМ</t>
  </si>
  <si>
    <t>Старост</t>
  </si>
  <si>
    <t>ВКУПЕН во Либерти БЕЗ бенеф.</t>
  </si>
  <si>
    <t>Ѓоргиев</t>
  </si>
  <si>
    <t>Васко</t>
  </si>
  <si>
    <t>Gjorgiev</t>
  </si>
  <si>
    <t>Vasko</t>
  </si>
  <si>
    <t>М</t>
  </si>
  <si>
    <t>Постар техничар на процес</t>
  </si>
  <si>
    <t>Technician</t>
  </si>
  <si>
    <t>Blue collar</t>
  </si>
  <si>
    <t>Насковски</t>
  </si>
  <si>
    <t>Пане</t>
  </si>
  <si>
    <t>Naskovski</t>
  </si>
  <si>
    <t>Pane</t>
  </si>
  <si>
    <t>Сменски раководител на ЕО</t>
  </si>
  <si>
    <t>Foreman</t>
  </si>
  <si>
    <t>Трајанов</t>
  </si>
  <si>
    <t>Томе</t>
  </si>
  <si>
    <t>Trajanov</t>
  </si>
  <si>
    <t>Tome</t>
  </si>
  <si>
    <t>Возач на бос</t>
  </si>
  <si>
    <t>Bos/Forklift driver</t>
  </si>
  <si>
    <t>Бошковски</t>
  </si>
  <si>
    <t>Зоран</t>
  </si>
  <si>
    <t>Boshkovski</t>
  </si>
  <si>
    <t>Zoran</t>
  </si>
  <si>
    <t>Техничар на процес-</t>
  </si>
  <si>
    <t>Process Technician</t>
  </si>
  <si>
    <t>Петровски</t>
  </si>
  <si>
    <t>Диде</t>
  </si>
  <si>
    <t>Petrovski</t>
  </si>
  <si>
    <t>Dide</t>
  </si>
  <si>
    <t>Металостругар и бравар заварувач</t>
  </si>
  <si>
    <t>Locksmith/Welder and Lathe operator</t>
  </si>
  <si>
    <t>Ѓорѓиевски</t>
  </si>
  <si>
    <t>Јовица</t>
  </si>
  <si>
    <t>Gjorgjievski</t>
  </si>
  <si>
    <t>Jovica</t>
  </si>
  <si>
    <t>Сменски раководител</t>
  </si>
  <si>
    <t>Foreman-</t>
  </si>
  <si>
    <t>Бесаровска</t>
  </si>
  <si>
    <t>Благица</t>
  </si>
  <si>
    <t>Besarovska</t>
  </si>
  <si>
    <t>Blagica</t>
  </si>
  <si>
    <t>Ж</t>
  </si>
  <si>
    <t>Евидентичар</t>
  </si>
  <si>
    <t>Recorder</t>
  </si>
  <si>
    <t>Драги</t>
  </si>
  <si>
    <t>Dragi</t>
  </si>
  <si>
    <t>Координатор на ЕО-</t>
  </si>
  <si>
    <t>EM Coordinator</t>
  </si>
  <si>
    <t>White collar</t>
  </si>
  <si>
    <t>Анчевски</t>
  </si>
  <si>
    <t>Борче</t>
  </si>
  <si>
    <t>Anchevski</t>
  </si>
  <si>
    <t>Borche</t>
  </si>
  <si>
    <t>Оператор на поцинкална-</t>
  </si>
  <si>
    <t>HDG operator-</t>
  </si>
  <si>
    <t>Нацев</t>
  </si>
  <si>
    <t>Тони</t>
  </si>
  <si>
    <t>Nacev</t>
  </si>
  <si>
    <t>Toni</t>
  </si>
  <si>
    <t>Општ работник</t>
  </si>
  <si>
    <t>Cleaning</t>
  </si>
  <si>
    <t>Костовска</t>
  </si>
  <si>
    <t>Валентина</t>
  </si>
  <si>
    <t>Kostovska</t>
  </si>
  <si>
    <t>Valentina</t>
  </si>
  <si>
    <t>Специјалист за кадровска  администрација</t>
  </si>
  <si>
    <t>Personnel Administration Specialist</t>
  </si>
  <si>
    <t>Трипуноски</t>
  </si>
  <si>
    <t>Tripunoski</t>
  </si>
  <si>
    <t>Координатор на линиите тандем и дресирен двостан</t>
  </si>
  <si>
    <t>Coordinator (TD and Skin pass)</t>
  </si>
  <si>
    <t>Exempt</t>
  </si>
  <si>
    <t>Тасески</t>
  </si>
  <si>
    <t>Зоранчо</t>
  </si>
  <si>
    <t>Taseski</t>
  </si>
  <si>
    <t>Zorancho</t>
  </si>
  <si>
    <t>Сменски раководител-евидентичар</t>
  </si>
  <si>
    <t>Foreman-Recorder</t>
  </si>
  <si>
    <t>Десподовски</t>
  </si>
  <si>
    <t>Горан</t>
  </si>
  <si>
    <t>Despodovski</t>
  </si>
  <si>
    <t>Goran</t>
  </si>
  <si>
    <t>Техничар на процес</t>
  </si>
  <si>
    <t>Крстевски</t>
  </si>
  <si>
    <t>Љупчо</t>
  </si>
  <si>
    <t>Krstevski</t>
  </si>
  <si>
    <t>Ljupcho</t>
  </si>
  <si>
    <t>Љура</t>
  </si>
  <si>
    <t>Сабедин</t>
  </si>
  <si>
    <t>Ljura</t>
  </si>
  <si>
    <t>Sabedin</t>
  </si>
  <si>
    <t>Оператор на премази-</t>
  </si>
  <si>
    <t>Paint room operator</t>
  </si>
  <si>
    <t>Миленковски</t>
  </si>
  <si>
    <t>Раде</t>
  </si>
  <si>
    <t>Milenkovski</t>
  </si>
  <si>
    <t>Rade</t>
  </si>
  <si>
    <t>Сменски раководител-</t>
  </si>
  <si>
    <t>Конеска</t>
  </si>
  <si>
    <t>Стојка</t>
  </si>
  <si>
    <t>Koneska</t>
  </si>
  <si>
    <t>Stojka</t>
  </si>
  <si>
    <t>Референт на отпрема</t>
  </si>
  <si>
    <t>Dispatch Officer</t>
  </si>
  <si>
    <t>Николовски</t>
  </si>
  <si>
    <t>Жарко</t>
  </si>
  <si>
    <t>Nikolovski</t>
  </si>
  <si>
    <t>Zharko</t>
  </si>
  <si>
    <t>Ангеловска</t>
  </si>
  <si>
    <t>Радица</t>
  </si>
  <si>
    <t>Angelovska</t>
  </si>
  <si>
    <t>Radica</t>
  </si>
  <si>
    <t>Оператор на кран</t>
  </si>
  <si>
    <t>Crane operator-</t>
  </si>
  <si>
    <t>Трифуновски</t>
  </si>
  <si>
    <t>Trifunovski</t>
  </si>
  <si>
    <t>Технолог</t>
  </si>
  <si>
    <t>Technologist</t>
  </si>
  <si>
    <t>Стојановски</t>
  </si>
  <si>
    <t>Перо</t>
  </si>
  <si>
    <t>Stojanovski</t>
  </si>
  <si>
    <t>Pero</t>
  </si>
  <si>
    <t>Оператор на влез и заварувач</t>
  </si>
  <si>
    <t>Entry operator &amp; Welder</t>
  </si>
  <si>
    <t>Ристески</t>
  </si>
  <si>
    <t>Ило</t>
  </si>
  <si>
    <t>Risteski</t>
  </si>
  <si>
    <t>Ilo</t>
  </si>
  <si>
    <t>Сменски раководител-Контрола на квалитет</t>
  </si>
  <si>
    <t>Foreman- Quality control</t>
  </si>
  <si>
    <t>Илиев</t>
  </si>
  <si>
    <t>Александар</t>
  </si>
  <si>
    <t>Iliev</t>
  </si>
  <si>
    <t>Aleksandar</t>
  </si>
  <si>
    <t>Поповски</t>
  </si>
  <si>
    <t>Миле</t>
  </si>
  <si>
    <t>Popovski</t>
  </si>
  <si>
    <t>Mile</t>
  </si>
  <si>
    <t>Христовски</t>
  </si>
  <si>
    <t>Драган</t>
  </si>
  <si>
    <t>Hristovski</t>
  </si>
  <si>
    <t>Dragan</t>
  </si>
  <si>
    <t>Јовчевски</t>
  </si>
  <si>
    <t>Jovchevski</t>
  </si>
  <si>
    <t>Андовски</t>
  </si>
  <si>
    <t>Andovski</t>
  </si>
  <si>
    <t>Земач на проби</t>
  </si>
  <si>
    <t>Sampler</t>
  </si>
  <si>
    <t>Станчевски</t>
  </si>
  <si>
    <t>Ивица</t>
  </si>
  <si>
    <t>Stanchevski</t>
  </si>
  <si>
    <t>Ivica</t>
  </si>
  <si>
    <t>Прв оператор (1500/68/67/52)-бравар-</t>
  </si>
  <si>
    <t>I st Operator(1500/68/67/52)-Loksmith</t>
  </si>
  <si>
    <t>Илиевска</t>
  </si>
  <si>
    <t>Биљана</t>
  </si>
  <si>
    <t>Ilievska</t>
  </si>
  <si>
    <t>Biljana</t>
  </si>
  <si>
    <t>Хемиски техничар во хемиска и погонска лабараторија</t>
  </si>
  <si>
    <t>Chemical Technician in Chemical and plant laboratory</t>
  </si>
  <si>
    <t>Дамјаноски</t>
  </si>
  <si>
    <t>Damjanoski</t>
  </si>
  <si>
    <t>Контролор оператор на Поцинкална</t>
  </si>
  <si>
    <t>Controller operator on HDG line</t>
  </si>
  <si>
    <t>Нешовски</t>
  </si>
  <si>
    <t>Бобан</t>
  </si>
  <si>
    <t>Neshovski</t>
  </si>
  <si>
    <t>Boban</t>
  </si>
  <si>
    <t>Тапарчевски</t>
  </si>
  <si>
    <t>Саше</t>
  </si>
  <si>
    <t>Taparchevski</t>
  </si>
  <si>
    <t>Sashe</t>
  </si>
  <si>
    <t>Ристовски</t>
  </si>
  <si>
    <t>Игор</t>
  </si>
  <si>
    <t>Ristovski</t>
  </si>
  <si>
    <t>Igor</t>
  </si>
  <si>
    <t>Трајковски</t>
  </si>
  <si>
    <t>Trajkovski</t>
  </si>
  <si>
    <t>Владо</t>
  </si>
  <si>
    <t>Vlado</t>
  </si>
  <si>
    <t>Сменски раководител на МО.</t>
  </si>
  <si>
    <t>Спировски</t>
  </si>
  <si>
    <t>Spirovski</t>
  </si>
  <si>
    <t>Велковски</t>
  </si>
  <si>
    <t>Дејан</t>
  </si>
  <si>
    <t>Velkovski</t>
  </si>
  <si>
    <t>Dejan</t>
  </si>
  <si>
    <t>Стефковски</t>
  </si>
  <si>
    <t>Стојанче</t>
  </si>
  <si>
    <t>Stefkovski</t>
  </si>
  <si>
    <t>Stojanche</t>
  </si>
  <si>
    <t>Блажески</t>
  </si>
  <si>
    <t>Данчо</t>
  </si>
  <si>
    <t>Blazheski</t>
  </si>
  <si>
    <t>Dancho</t>
  </si>
  <si>
    <t>Механичар за потпорни валци-</t>
  </si>
  <si>
    <t>Mechanic</t>
  </si>
  <si>
    <t>Лозановски</t>
  </si>
  <si>
    <t>Lozanovski</t>
  </si>
  <si>
    <t>Оператор на пластификација</t>
  </si>
  <si>
    <t>PPG Operator</t>
  </si>
  <si>
    <t>Неделковски</t>
  </si>
  <si>
    <t>Марјан</t>
  </si>
  <si>
    <t>Nedelkovski</t>
  </si>
  <si>
    <t>Marjan</t>
  </si>
  <si>
    <t>Координатор за висок напон</t>
  </si>
  <si>
    <t>High voltage coordinator-</t>
  </si>
  <si>
    <t>Станојевиќ</t>
  </si>
  <si>
    <t>Срѓан</t>
  </si>
  <si>
    <t>Stanojevikj</t>
  </si>
  <si>
    <t>Srgjan</t>
  </si>
  <si>
    <t>Координатор</t>
  </si>
  <si>
    <t>Coordinator</t>
  </si>
  <si>
    <t>Спасевски</t>
  </si>
  <si>
    <t>Spasevski</t>
  </si>
  <si>
    <t>Андоновски</t>
  </si>
  <si>
    <t>Andonovski</t>
  </si>
  <si>
    <t>Електро механичар</t>
  </si>
  <si>
    <t>Electro-mechanic</t>
  </si>
  <si>
    <t>Анчовски</t>
  </si>
  <si>
    <t>Anchovski</t>
  </si>
  <si>
    <t>Програмер за производство</t>
  </si>
  <si>
    <t>Production Programmer</t>
  </si>
  <si>
    <t>Мирчески</t>
  </si>
  <si>
    <t>Mircheski</t>
  </si>
  <si>
    <t>Раководител на магацин</t>
  </si>
  <si>
    <t>Stores Supervisor</t>
  </si>
  <si>
    <t>Координатор за возен парк и протокол</t>
  </si>
  <si>
    <t>Fleet &amp; Protocol Coordinator</t>
  </si>
  <si>
    <t>Москов</t>
  </si>
  <si>
    <t>Петар</t>
  </si>
  <si>
    <t>Moskov</t>
  </si>
  <si>
    <t>Petar</t>
  </si>
  <si>
    <t>Одговорен магационер-лансер твт</t>
  </si>
  <si>
    <t>Responsible Stocker</t>
  </si>
  <si>
    <t>Петковски</t>
  </si>
  <si>
    <t>Petkovski</t>
  </si>
  <si>
    <t>Митровиќ</t>
  </si>
  <si>
    <t>Ненад</t>
  </si>
  <si>
    <t>Mitrovikj</t>
  </si>
  <si>
    <t>Nenad</t>
  </si>
  <si>
    <t>Сашко</t>
  </si>
  <si>
    <t>Sashko</t>
  </si>
  <si>
    <t>Оператор во погонска лабараторија</t>
  </si>
  <si>
    <t>Plant laboratory Operator</t>
  </si>
  <si>
    <t>Тошевски</t>
  </si>
  <si>
    <t>Никола</t>
  </si>
  <si>
    <t>Toshevski</t>
  </si>
  <si>
    <t>Nikola</t>
  </si>
  <si>
    <t>Електричар на ЕО-</t>
  </si>
  <si>
    <t>Electrician</t>
  </si>
  <si>
    <t>Слободан</t>
  </si>
  <si>
    <t>Slobodan</t>
  </si>
  <si>
    <t>Јанкуловски</t>
  </si>
  <si>
    <t>Гоце</t>
  </si>
  <si>
    <t>Jankulovski</t>
  </si>
  <si>
    <t>Goce</t>
  </si>
  <si>
    <t>Миловановиќ</t>
  </si>
  <si>
    <t>Milovanovikj</t>
  </si>
  <si>
    <t>Менаџер за електро одржување</t>
  </si>
  <si>
    <t>Electrical Maintenance Manager</t>
  </si>
  <si>
    <t>Гавриловски</t>
  </si>
  <si>
    <t>Gavrilovski</t>
  </si>
  <si>
    <t>Главен менаџер за продажба</t>
  </si>
  <si>
    <t>Senior Account Manager</t>
  </si>
  <si>
    <t>Фератовски</t>
  </si>
  <si>
    <t>Ирфан</t>
  </si>
  <si>
    <t>Feratovski</t>
  </si>
  <si>
    <t>Irfan</t>
  </si>
  <si>
    <t>Втор оператор</t>
  </si>
  <si>
    <t>II nd Operator</t>
  </si>
  <si>
    <t>Крпачовски</t>
  </si>
  <si>
    <t>Krpachovski</t>
  </si>
  <si>
    <t>Менаџер за проекти, прогрес и ИТ</t>
  </si>
  <si>
    <t>Head of Projects, progress &amp; IT</t>
  </si>
  <si>
    <t>Менаџер на оддел за здравје, безбедност и екологија</t>
  </si>
  <si>
    <t>Health, Safety &amp; Environment Manager</t>
  </si>
  <si>
    <t>Барди</t>
  </si>
  <si>
    <t>Неваип</t>
  </si>
  <si>
    <t>Bardi</t>
  </si>
  <si>
    <t>Nevaip</t>
  </si>
  <si>
    <t>Стошиќ</t>
  </si>
  <si>
    <t>Stoshikj</t>
  </si>
  <si>
    <t>Референт во оддел  за односи со клиенти</t>
  </si>
  <si>
    <t>Customer Service Officer</t>
  </si>
  <si>
    <t>Јованова</t>
  </si>
  <si>
    <t>Светлана</t>
  </si>
  <si>
    <t>Jovanova</t>
  </si>
  <si>
    <t>Svetlana</t>
  </si>
  <si>
    <t>Контролор за управување со перформанси</t>
  </si>
  <si>
    <t>Performance Management Controller</t>
  </si>
  <si>
    <t>Талески</t>
  </si>
  <si>
    <t>Драганче</t>
  </si>
  <si>
    <t>Taleski</t>
  </si>
  <si>
    <t>Draganche</t>
  </si>
  <si>
    <t>Обележувач-</t>
  </si>
  <si>
    <t>Marker-</t>
  </si>
  <si>
    <t>Наумовски</t>
  </si>
  <si>
    <t>Naumovski</t>
  </si>
  <si>
    <t>Главен оператор (на линија поцинкална) и оператор на затезна рамналка</t>
  </si>
  <si>
    <t>Main HDG and tension leveler operator</t>
  </si>
  <si>
    <t>Гиевски</t>
  </si>
  <si>
    <t>Методи</t>
  </si>
  <si>
    <t>Gievski</t>
  </si>
  <si>
    <t>Metodi</t>
  </si>
  <si>
    <t>Менаџер за проекти</t>
  </si>
  <si>
    <t>Projects manager</t>
  </si>
  <si>
    <t>Сменски работник на отпрема</t>
  </si>
  <si>
    <t>Shift worker</t>
  </si>
  <si>
    <t>Астарџиева</t>
  </si>
  <si>
    <t>Гордана</t>
  </si>
  <si>
    <t>Astardjieva</t>
  </si>
  <si>
    <t>Gordana</t>
  </si>
  <si>
    <t>Инженер за висок напон и менаџмент на електрична енергија</t>
  </si>
  <si>
    <t>High voltage &amp; power nomination engineer</t>
  </si>
  <si>
    <t>Ивановски</t>
  </si>
  <si>
    <t>Ivanovski</t>
  </si>
  <si>
    <t>Заменик менаџер на оддел за Пластификација и поцинкување</t>
  </si>
  <si>
    <t>Deputy Coating Unit Manager</t>
  </si>
  <si>
    <t>Јанев</t>
  </si>
  <si>
    <t>Игорче</t>
  </si>
  <si>
    <t>Janev</t>
  </si>
  <si>
    <t>Igorche</t>
  </si>
  <si>
    <t>Панов</t>
  </si>
  <si>
    <t>Panov</t>
  </si>
  <si>
    <t>Инженер за контрола на квалитет</t>
  </si>
  <si>
    <t>Quality Control Engineer</t>
  </si>
  <si>
    <t>Митковски</t>
  </si>
  <si>
    <t>Сашо</t>
  </si>
  <si>
    <t>Mitkovski</t>
  </si>
  <si>
    <t>Sasho</t>
  </si>
  <si>
    <t>Дресер оператор на поцинкална</t>
  </si>
  <si>
    <t>Skin pass operator on Galvanizing line</t>
  </si>
  <si>
    <t>Илиевски</t>
  </si>
  <si>
    <t>Ilievski</t>
  </si>
  <si>
    <t>Технолог за работни валци-</t>
  </si>
  <si>
    <t>Technologist-</t>
  </si>
  <si>
    <t>Мерџановски</t>
  </si>
  <si>
    <t>Кирчо</t>
  </si>
  <si>
    <t>Merdjanovski</t>
  </si>
  <si>
    <t>Kircho</t>
  </si>
  <si>
    <t>Раководител на МРТ</t>
  </si>
  <si>
    <t>MRT Supervisor</t>
  </si>
  <si>
    <t>Здравковски</t>
  </si>
  <si>
    <t>Давор</t>
  </si>
  <si>
    <t>Zdravkovski</t>
  </si>
  <si>
    <t>Davor</t>
  </si>
  <si>
    <t>Сменски раководител за отпад и готов производ</t>
  </si>
  <si>
    <t>Foreman-scrap and final product</t>
  </si>
  <si>
    <t>Горанчо</t>
  </si>
  <si>
    <t>Gorancho</t>
  </si>
  <si>
    <t>Оператор на поцинкална и оператор на затезна рамналка</t>
  </si>
  <si>
    <t>HDG and tension leveler operator</t>
  </si>
  <si>
    <t>Цветановски</t>
  </si>
  <si>
    <t>Cvetanovski</t>
  </si>
  <si>
    <t>Ташевски</t>
  </si>
  <si>
    <t>Илија</t>
  </si>
  <si>
    <t>Tashevski</t>
  </si>
  <si>
    <t>Ilija</t>
  </si>
  <si>
    <t>Дресер и оператор на затезна рамналка и тандем</t>
  </si>
  <si>
    <t>Main Skin Pass, Tension Leveler and Tandem Operator</t>
  </si>
  <si>
    <t>Стефаноски</t>
  </si>
  <si>
    <t>Кире</t>
  </si>
  <si>
    <t>Stefanoski</t>
  </si>
  <si>
    <t>Kire</t>
  </si>
  <si>
    <t>Евремов</t>
  </si>
  <si>
    <t>Evremov</t>
  </si>
  <si>
    <t>Сменски магационер/отпремач</t>
  </si>
  <si>
    <t>Shift shipper</t>
  </si>
  <si>
    <t>Ратко</t>
  </si>
  <si>
    <t>Ratko</t>
  </si>
  <si>
    <t>Миовски</t>
  </si>
  <si>
    <t>Miovski</t>
  </si>
  <si>
    <t>Работник на када за поцинкување</t>
  </si>
  <si>
    <t>Zn pot operator</t>
  </si>
  <si>
    <t>Шегмановиќ</t>
  </si>
  <si>
    <t>Shegmanovikj</t>
  </si>
  <si>
    <t>Работник за одржување на хигиена</t>
  </si>
  <si>
    <t>Hygiene maintenance worker</t>
  </si>
  <si>
    <t>Богдановски</t>
  </si>
  <si>
    <t>Bogdanovski</t>
  </si>
  <si>
    <t>Петковиќ</t>
  </si>
  <si>
    <t>Миодраг</t>
  </si>
  <si>
    <t>Petkovikj</t>
  </si>
  <si>
    <t>Miodrag</t>
  </si>
  <si>
    <t>Најдовски</t>
  </si>
  <si>
    <t>Najdovski</t>
  </si>
  <si>
    <t>Сменски раководител-возач на локомотива</t>
  </si>
  <si>
    <t>Foreman-Locomotive driver</t>
  </si>
  <si>
    <t>Јазаџиев</t>
  </si>
  <si>
    <t>Jazadjiev</t>
  </si>
  <si>
    <t>Пешов</t>
  </si>
  <si>
    <t>Peshov</t>
  </si>
  <si>
    <t>Оператор на емулзиона постројка</t>
  </si>
  <si>
    <t>Emulsion line Operator</t>
  </si>
  <si>
    <t>Радевски</t>
  </si>
  <si>
    <t>Киро</t>
  </si>
  <si>
    <t>Radevski</t>
  </si>
  <si>
    <t>Kiro</t>
  </si>
  <si>
    <t>Оператор- контролор Лужилница Тандем</t>
  </si>
  <si>
    <t xml:space="preserve"> Operator- controler  Pickling Line and Tandem,</t>
  </si>
  <si>
    <t>Бероски</t>
  </si>
  <si>
    <t>Beroski</t>
  </si>
  <si>
    <t>Чанговски</t>
  </si>
  <si>
    <t>Влатко</t>
  </si>
  <si>
    <t>Changovski</t>
  </si>
  <si>
    <t>Vlatko</t>
  </si>
  <si>
    <t>Ставрески</t>
  </si>
  <si>
    <t>Стојан</t>
  </si>
  <si>
    <t>Stavreski</t>
  </si>
  <si>
    <t>Stojan</t>
  </si>
  <si>
    <t>Бравар-заварувач</t>
  </si>
  <si>
    <t>Locksmith/Welder-</t>
  </si>
  <si>
    <t>Абази</t>
  </si>
  <si>
    <t>Ќемаљ</t>
  </si>
  <si>
    <t>Abazi</t>
  </si>
  <si>
    <t>Kjemalj</t>
  </si>
  <si>
    <t>Селими</t>
  </si>
  <si>
    <t>Џеват</t>
  </si>
  <si>
    <t>Selimi</t>
  </si>
  <si>
    <t>Djevat</t>
  </si>
  <si>
    <t>Бравар - заварувач на МО-</t>
  </si>
  <si>
    <t>Locksmith/Welder</t>
  </si>
  <si>
    <t>Димовски</t>
  </si>
  <si>
    <t>Трајче</t>
  </si>
  <si>
    <t>Dimovski</t>
  </si>
  <si>
    <t>Trajche</t>
  </si>
  <si>
    <t>Оператор на парни котли</t>
  </si>
  <si>
    <t>Boiler Operator</t>
  </si>
  <si>
    <t>Шијаковски</t>
  </si>
  <si>
    <t>Роберт</t>
  </si>
  <si>
    <t>Shijakovski</t>
  </si>
  <si>
    <t>Robert</t>
  </si>
  <si>
    <t>Сменски раководител на ЕО-</t>
  </si>
  <si>
    <t>Црничин</t>
  </si>
  <si>
    <t>Славиша</t>
  </si>
  <si>
    <t>Crnichin</t>
  </si>
  <si>
    <t>Slavisha</t>
  </si>
  <si>
    <t>Цветковски</t>
  </si>
  <si>
    <t>Cvetkovski</t>
  </si>
  <si>
    <t>Саша</t>
  </si>
  <si>
    <t>Sasha</t>
  </si>
  <si>
    <t>Одговорен сменски приемач / отпремач-</t>
  </si>
  <si>
    <t>Responsible shift shipper-</t>
  </si>
  <si>
    <t>Славковски</t>
  </si>
  <si>
    <t>Јосиф</t>
  </si>
  <si>
    <t>Slavkovski</t>
  </si>
  <si>
    <t>Josif</t>
  </si>
  <si>
    <t>Оператор на поцинкална и работник на када за поцинкување-</t>
  </si>
  <si>
    <t>HDG and Zn pot operator-</t>
  </si>
  <si>
    <t>Стојчевски</t>
  </si>
  <si>
    <t>Stojchevski</t>
  </si>
  <si>
    <t>Оператор на кран со Ц категорија</t>
  </si>
  <si>
    <t>Crane operator with C category-</t>
  </si>
  <si>
    <t>Донче</t>
  </si>
  <si>
    <t>Donche</t>
  </si>
  <si>
    <t>Координатор на ЕО</t>
  </si>
  <si>
    <t>Марковски</t>
  </si>
  <si>
    <t>Markovski</t>
  </si>
  <si>
    <t>Вељановски</t>
  </si>
  <si>
    <t>Veljanovski</t>
  </si>
  <si>
    <t>Техничар за електро одржување</t>
  </si>
  <si>
    <t>Ангелески</t>
  </si>
  <si>
    <t>Angeleski</t>
  </si>
  <si>
    <t>Богоев</t>
  </si>
  <si>
    <t>Bogoev</t>
  </si>
  <si>
    <t>Стевче</t>
  </si>
  <si>
    <t>Stevche</t>
  </si>
  <si>
    <t>Кочовски</t>
  </si>
  <si>
    <t>Љубомир</t>
  </si>
  <si>
    <t>Kochovski</t>
  </si>
  <si>
    <t>Ljubomir</t>
  </si>
  <si>
    <t>Професионален возач</t>
  </si>
  <si>
    <t>Proffesional Driver</t>
  </si>
  <si>
    <t>Блажевски</t>
  </si>
  <si>
    <t>Blazhevski</t>
  </si>
  <si>
    <t>Боризовски</t>
  </si>
  <si>
    <t>Зоранче</t>
  </si>
  <si>
    <t>Borizovski</t>
  </si>
  <si>
    <t>Zoranche</t>
  </si>
  <si>
    <t>Оператор Лужилница и Тандем</t>
  </si>
  <si>
    <t xml:space="preserve"> Operator Pickling Line and Tandem,</t>
  </si>
  <si>
    <t>Стојмановиќ</t>
  </si>
  <si>
    <t>Небојша</t>
  </si>
  <si>
    <t>Stojmanovikj</t>
  </si>
  <si>
    <t>Nebojsha</t>
  </si>
  <si>
    <t>Пашоски</t>
  </si>
  <si>
    <t>Pashoski</t>
  </si>
  <si>
    <t>Техничар на процес Лужилница и Тандем и Управувач на преса за обрачи (ножици)</t>
  </si>
  <si>
    <t>Process technician PKL TD and operator for packing rings (Shear Line),</t>
  </si>
  <si>
    <t>Карајановски</t>
  </si>
  <si>
    <t>Karajanovski</t>
  </si>
  <si>
    <t>Стојанов</t>
  </si>
  <si>
    <t>Stojanov</t>
  </si>
  <si>
    <t>Јакимов</t>
  </si>
  <si>
    <t>Владимир</t>
  </si>
  <si>
    <t>Jakimov</t>
  </si>
  <si>
    <t>Vladimir</t>
  </si>
  <si>
    <t>Гиноски</t>
  </si>
  <si>
    <t>Горанче</t>
  </si>
  <si>
    <t>Ginoski</t>
  </si>
  <si>
    <t>Goranche</t>
  </si>
  <si>
    <t>Металостругар и механичар-</t>
  </si>
  <si>
    <t>Metal Turner / Mechanic</t>
  </si>
  <si>
    <t>Мустафа</t>
  </si>
  <si>
    <t>Авдил</t>
  </si>
  <si>
    <t>Mustafa</t>
  </si>
  <si>
    <t>Avdil</t>
  </si>
  <si>
    <t>Дамевска</t>
  </si>
  <si>
    <t>Бета</t>
  </si>
  <si>
    <t>Damevska</t>
  </si>
  <si>
    <t>Beta</t>
  </si>
  <si>
    <t>Илазов</t>
  </si>
  <si>
    <t>Насер</t>
  </si>
  <si>
    <t>Ilazov</t>
  </si>
  <si>
    <t>Naser</t>
  </si>
  <si>
    <t>Пакетар</t>
  </si>
  <si>
    <t>Packing</t>
  </si>
  <si>
    <t>Виктор</t>
  </si>
  <si>
    <t>Viktor</t>
  </si>
  <si>
    <t>Златко</t>
  </si>
  <si>
    <t>Zlatko</t>
  </si>
  <si>
    <t>Стоицев</t>
  </si>
  <si>
    <t>Stoicev</t>
  </si>
  <si>
    <t>Јовановски</t>
  </si>
  <si>
    <t>Jovanovski</t>
  </si>
  <si>
    <t>Сменски раководител -  Координатор</t>
  </si>
  <si>
    <t>Foreman -Coordinator</t>
  </si>
  <si>
    <t>Маслов</t>
  </si>
  <si>
    <t>Иван</t>
  </si>
  <si>
    <t>Maslov</t>
  </si>
  <si>
    <t>Ivan</t>
  </si>
  <si>
    <t>Трипуновски</t>
  </si>
  <si>
    <t>Tripunovski</t>
  </si>
  <si>
    <t>Бошковиќ</t>
  </si>
  <si>
    <t>Милисав</t>
  </si>
  <si>
    <t>Boshkovikj</t>
  </si>
  <si>
    <t>Milisav</t>
  </si>
  <si>
    <t>Пандурски</t>
  </si>
  <si>
    <t>Pandurski</t>
  </si>
  <si>
    <t>Трајкоски</t>
  </si>
  <si>
    <t>Љубен</t>
  </si>
  <si>
    <t>Trajkoski</t>
  </si>
  <si>
    <t>Ljuben</t>
  </si>
  <si>
    <t>Трајаноска</t>
  </si>
  <si>
    <t>Бранкица</t>
  </si>
  <si>
    <t>Trajanoska</t>
  </si>
  <si>
    <t>Brankica</t>
  </si>
  <si>
    <t>Постар купувач</t>
  </si>
  <si>
    <t>Senior Buyer</t>
  </si>
  <si>
    <t>Димов</t>
  </si>
  <si>
    <t>Блаже</t>
  </si>
  <si>
    <t>Dimov</t>
  </si>
  <si>
    <t>Blazhe</t>
  </si>
  <si>
    <t>Раководител на внатрешен транспорт</t>
  </si>
  <si>
    <t>Supervisor</t>
  </si>
  <si>
    <t>Петровска</t>
  </si>
  <si>
    <t>Билjана</t>
  </si>
  <si>
    <t>Petrovska</t>
  </si>
  <si>
    <t>Техничар за излезна документација-диспечер</t>
  </si>
  <si>
    <t>Dispatcher</t>
  </si>
  <si>
    <t>Трајков</t>
  </si>
  <si>
    <t>Trajkov</t>
  </si>
  <si>
    <t>Спасовски</t>
  </si>
  <si>
    <t>Славко</t>
  </si>
  <si>
    <t>Spasovski</t>
  </si>
  <si>
    <t>Slavko</t>
  </si>
  <si>
    <t>Претседател на синдикат</t>
  </si>
  <si>
    <t>Union President</t>
  </si>
  <si>
    <t>Возач на локомотива-</t>
  </si>
  <si>
    <t>Locomotive driver-</t>
  </si>
  <si>
    <t>Методија</t>
  </si>
  <si>
    <t>Metodija</t>
  </si>
  <si>
    <t>Петрушевски</t>
  </si>
  <si>
    <t>Petrushevski</t>
  </si>
  <si>
    <t>Кипријановски</t>
  </si>
  <si>
    <t>Kiprijanovski</t>
  </si>
  <si>
    <t>Контролор на квалитет</t>
  </si>
  <si>
    <t>Quality Controller</t>
  </si>
  <si>
    <t>Митевски</t>
  </si>
  <si>
    <t>Mitevski</t>
  </si>
  <si>
    <t>Ангеловски</t>
  </si>
  <si>
    <t>Орце</t>
  </si>
  <si>
    <t>Angelovski</t>
  </si>
  <si>
    <t>Orce</t>
  </si>
  <si>
    <t>Даниловски</t>
  </si>
  <si>
    <t>Danilovski</t>
  </si>
  <si>
    <t>Михајловиќ</t>
  </si>
  <si>
    <t>Братислав</t>
  </si>
  <si>
    <t>Mihajlovikj</t>
  </si>
  <si>
    <t>Bratislav</t>
  </si>
  <si>
    <t>Аце</t>
  </si>
  <si>
    <t>Ace</t>
  </si>
  <si>
    <t>Јован</t>
  </si>
  <si>
    <t>Jovan</t>
  </si>
  <si>
    <t>Магационер за репро материјали и резервни делови</t>
  </si>
  <si>
    <t>Raw materials and spare parts Storekeeper</t>
  </si>
  <si>
    <t>Раководител на работна единица отпрема</t>
  </si>
  <si>
    <t>Dispatch supervisor</t>
  </si>
  <si>
    <t>Димишковски</t>
  </si>
  <si>
    <t>Dimishkovski</t>
  </si>
  <si>
    <t>Симоновски</t>
  </si>
  <si>
    <t>Simonovski</t>
  </si>
  <si>
    <t>Сменски раководител на МО-</t>
  </si>
  <si>
    <t>Младеновска</t>
  </si>
  <si>
    <t>Славица</t>
  </si>
  <si>
    <t>Mladenovska</t>
  </si>
  <si>
    <t>Slavica</t>
  </si>
  <si>
    <t>Рајовска</t>
  </si>
  <si>
    <t>Ангелина</t>
  </si>
  <si>
    <t>Rajovska</t>
  </si>
  <si>
    <t>Angelina</t>
  </si>
  <si>
    <t>Хигиеничар-</t>
  </si>
  <si>
    <t>Cleaning staff-</t>
  </si>
  <si>
    <t>Дилевски</t>
  </si>
  <si>
    <t>Dilevski</t>
  </si>
  <si>
    <t>Зотиќ</t>
  </si>
  <si>
    <t>Zotikj</t>
  </si>
  <si>
    <t>Мазневски</t>
  </si>
  <si>
    <t>Maznevski</t>
  </si>
  <si>
    <t>Нешковиќ</t>
  </si>
  <si>
    <t>Звонко</t>
  </si>
  <si>
    <t>Neshkovikj</t>
  </si>
  <si>
    <t>Zvonko</t>
  </si>
  <si>
    <t>Паунков</t>
  </si>
  <si>
    <t>Paunkov</t>
  </si>
  <si>
    <t>Јордановски</t>
  </si>
  <si>
    <t>Jordanovski</t>
  </si>
  <si>
    <t>Стамчевски</t>
  </si>
  <si>
    <t>Stamchevski</t>
  </si>
  <si>
    <t>Василевски</t>
  </si>
  <si>
    <t>Vasilevski</t>
  </si>
  <si>
    <t>Прекопуца</t>
  </si>
  <si>
    <t>Иљаз</t>
  </si>
  <si>
    <t>Prekopuca</t>
  </si>
  <si>
    <t>Iljaz</t>
  </si>
  <si>
    <t>Таналари</t>
  </si>
  <si>
    <t>Фадил</t>
  </si>
  <si>
    <t>Tanalari</t>
  </si>
  <si>
    <t>Fadil</t>
  </si>
  <si>
    <t>Сменски раководител Лужилница, Тандем и Ножици-</t>
  </si>
  <si>
    <t>Foreman PKL /TD/ Shear line</t>
  </si>
  <si>
    <t>Менаџер на оддел валање</t>
  </si>
  <si>
    <t>Head of Rolling Unit</t>
  </si>
  <si>
    <t>Савески</t>
  </si>
  <si>
    <t>Saveski</t>
  </si>
  <si>
    <t>Раководител на линиите ножици и дресирен двостан</t>
  </si>
  <si>
    <t>Supervisor (Shear line and Skin pass)</t>
  </si>
  <si>
    <t>Зулфиовски</t>
  </si>
  <si>
    <t>Ајдин</t>
  </si>
  <si>
    <t>Zulfiovski</t>
  </si>
  <si>
    <t>Ajdin</t>
  </si>
  <si>
    <t>Цибрев</t>
  </si>
  <si>
    <t>Cibrev</t>
  </si>
  <si>
    <t>Главен референт за логистика</t>
  </si>
  <si>
    <t>Main Logistics Officer</t>
  </si>
  <si>
    <t>Јовчевска</t>
  </si>
  <si>
    <t>Jovchevska</t>
  </si>
  <si>
    <t>Дамчевска</t>
  </si>
  <si>
    <t>Елена</t>
  </si>
  <si>
    <t>Damchevska</t>
  </si>
  <si>
    <t>Elena</t>
  </si>
  <si>
    <t>Референт за благајничко работење</t>
  </si>
  <si>
    <t>Treasury Officer</t>
  </si>
  <si>
    <t>Димевска</t>
  </si>
  <si>
    <t>Весна</t>
  </si>
  <si>
    <t>Dimevska</t>
  </si>
  <si>
    <t>Vesna</t>
  </si>
  <si>
    <t>Хемиски техничар</t>
  </si>
  <si>
    <t>Chemical Technician</t>
  </si>
  <si>
    <t>Симоноски</t>
  </si>
  <si>
    <t>Кирил</t>
  </si>
  <si>
    <t>Simonoski</t>
  </si>
  <si>
    <t>Kiril</t>
  </si>
  <si>
    <t>Инженер за поддршка</t>
  </si>
  <si>
    <t>Support engineer</t>
  </si>
  <si>
    <t>Атанасоски</t>
  </si>
  <si>
    <t>Atanasoski</t>
  </si>
  <si>
    <t>Менаџер за прогрес во одржување</t>
  </si>
  <si>
    <t>Maintenance Progress manager</t>
  </si>
  <si>
    <t>Менаџер на оддел за пластификација и поцинкување</t>
  </si>
  <si>
    <t>Head of Coating Unit</t>
  </si>
  <si>
    <t>Ристовска</t>
  </si>
  <si>
    <t>Тодорка</t>
  </si>
  <si>
    <t>Ristovska</t>
  </si>
  <si>
    <t>Todorka</t>
  </si>
  <si>
    <t>Генерален Директор</t>
  </si>
  <si>
    <t>Managing Director</t>
  </si>
  <si>
    <t>Блажева</t>
  </si>
  <si>
    <t xml:space="preserve">Елена </t>
  </si>
  <si>
    <t>Blazeva</t>
  </si>
  <si>
    <t>Главен финансиски директор</t>
  </si>
  <si>
    <t>Head of Finance</t>
  </si>
  <si>
    <t>Најденов</t>
  </si>
  <si>
    <t>Дарко</t>
  </si>
  <si>
    <t>Najdenov</t>
  </si>
  <si>
    <t>Darko</t>
  </si>
  <si>
    <t>Младеновски</t>
  </si>
  <si>
    <t>Mladenovski</t>
  </si>
  <si>
    <t>Заменик менаџер за проекти, прогрес и ИТ</t>
  </si>
  <si>
    <t>Deputy projects, progress &amp; IT manager</t>
  </si>
  <si>
    <t>Николоска</t>
  </si>
  <si>
    <t>Наталија</t>
  </si>
  <si>
    <t>Nikoloska</t>
  </si>
  <si>
    <t>Natalija</t>
  </si>
  <si>
    <t>Крстев</t>
  </si>
  <si>
    <t>Krstev</t>
  </si>
  <si>
    <t>Менаџер за планирање и стратегија</t>
  </si>
  <si>
    <t>Planning and strategy manager</t>
  </si>
  <si>
    <t>Коцевска Пецева</t>
  </si>
  <si>
    <t>Kocevska Peceva</t>
  </si>
  <si>
    <t>Менаџер на оддел за контрола на квалитет</t>
  </si>
  <si>
    <t>Quality Control Manager</t>
  </si>
  <si>
    <t>Директор на производство</t>
  </si>
  <si>
    <t>Head of Production</t>
  </si>
  <si>
    <t>Јованова Крстева</t>
  </si>
  <si>
    <t>Дејана</t>
  </si>
  <si>
    <t>Jovanova Krsteva</t>
  </si>
  <si>
    <t>Dejana</t>
  </si>
  <si>
    <t>Менаџер на Ланец за снабдување</t>
  </si>
  <si>
    <t>Head of Supply chain</t>
  </si>
  <si>
    <t>Пандиловски</t>
  </si>
  <si>
    <t>Pandilovski</t>
  </si>
  <si>
    <t>Менаџер за автоматизација</t>
  </si>
  <si>
    <t>Automation manager</t>
  </si>
  <si>
    <t>Шулевски</t>
  </si>
  <si>
    <t>Shulevski</t>
  </si>
  <si>
    <t>Поддршка во производство и одржување</t>
  </si>
  <si>
    <t>Production and Maintenance Support</t>
  </si>
  <si>
    <t>Менаџер на интерна контрола</t>
  </si>
  <si>
    <t>Manager for internal control</t>
  </si>
  <si>
    <t>Благоески</t>
  </si>
  <si>
    <t>Blagoeski</t>
  </si>
  <si>
    <t>Брашнаров</t>
  </si>
  <si>
    <t>Brashnarov</t>
  </si>
  <si>
    <t>Менаџер за електро одржување-</t>
  </si>
  <si>
    <t>Electrical Maintenance Manager-</t>
  </si>
  <si>
    <t>Манчевски</t>
  </si>
  <si>
    <t>Звонимир</t>
  </si>
  <si>
    <t>Manchevski</t>
  </si>
  <si>
    <t>Zvonimir</t>
  </si>
  <si>
    <t>Дејановски</t>
  </si>
  <si>
    <t>Dejanovski</t>
  </si>
  <si>
    <t>Селаедин</t>
  </si>
  <si>
    <t>Selaedin</t>
  </si>
  <si>
    <t>Маневски</t>
  </si>
  <si>
    <t>Славе</t>
  </si>
  <si>
    <t>Manevski</t>
  </si>
  <si>
    <t>Slave</t>
  </si>
  <si>
    <t>ИТ техничар за поддршка</t>
  </si>
  <si>
    <t>IT Support tehnician</t>
  </si>
  <si>
    <t>Салиовски</t>
  </si>
  <si>
    <t>Џевад</t>
  </si>
  <si>
    <t>Saliovski</t>
  </si>
  <si>
    <t>Сменски раководител на МО</t>
  </si>
  <si>
    <t>Величковска</t>
  </si>
  <si>
    <t>Velichkovska</t>
  </si>
  <si>
    <t>Директор на сектор за човечки ресурси и правни работи</t>
  </si>
  <si>
    <t>Head of  Human Resources and Legal Affairs</t>
  </si>
  <si>
    <t xml:space="preserve"> Менаџер за одржување на кранови и внатрешен транспорт</t>
  </si>
  <si>
    <t>Crane maintenance and internal transport manager</t>
  </si>
  <si>
    <t>Урошевски</t>
  </si>
  <si>
    <t>Благе</t>
  </si>
  <si>
    <t>Uroshevski</t>
  </si>
  <si>
    <t>Blage</t>
  </si>
  <si>
    <t>Координатор на МО-</t>
  </si>
  <si>
    <t>MM Coordinator</t>
  </si>
  <si>
    <t>Јанковски</t>
  </si>
  <si>
    <t>Стојадин</t>
  </si>
  <si>
    <t>Jankovski</t>
  </si>
  <si>
    <t>Stojadin</t>
  </si>
  <si>
    <t>Николоски</t>
  </si>
  <si>
    <t>Nikoloski</t>
  </si>
  <si>
    <t>Техничар за машинско одржување</t>
  </si>
  <si>
    <t>Инженер за машинско одржување</t>
  </si>
  <si>
    <t>Mechanical Maintenance Engineer</t>
  </si>
  <si>
    <t>Тоневски</t>
  </si>
  <si>
    <t>Стефан</t>
  </si>
  <si>
    <t>Tonevski</t>
  </si>
  <si>
    <t>Stefan</t>
  </si>
  <si>
    <t>Валканчева Најденова</t>
  </si>
  <si>
    <t>Valkancheva Najdenova</t>
  </si>
  <si>
    <t>Главен асистент за продажба</t>
  </si>
  <si>
    <t>Senior Account Assistant</t>
  </si>
  <si>
    <t>Душановски</t>
  </si>
  <si>
    <t>Dushanovski</t>
  </si>
  <si>
    <t>Велевска</t>
  </si>
  <si>
    <t>Јагода</t>
  </si>
  <si>
    <t>Velevska</t>
  </si>
  <si>
    <t>Jagoda</t>
  </si>
  <si>
    <t>Виш внатрешен ревизор</t>
  </si>
  <si>
    <t>Senior Internal Auditor</t>
  </si>
  <si>
    <t>Николиќ</t>
  </si>
  <si>
    <t>Nikolikj</t>
  </si>
  <si>
    <t>Гоцевски</t>
  </si>
  <si>
    <t>Gocevski</t>
  </si>
  <si>
    <t>Костовски</t>
  </si>
  <si>
    <t>Kostovski</t>
  </si>
  <si>
    <t>Цане</t>
  </si>
  <si>
    <t>Cane</t>
  </si>
  <si>
    <t>Стаменковски</t>
  </si>
  <si>
    <t>Stamenkovski</t>
  </si>
  <si>
    <t>МРТ Инженер</t>
  </si>
  <si>
    <t>MRT engineer</t>
  </si>
  <si>
    <t>Петровиќ</t>
  </si>
  <si>
    <t>Драгана</t>
  </si>
  <si>
    <t>Petrovikj</t>
  </si>
  <si>
    <t>Dragana</t>
  </si>
  <si>
    <t>Милановски</t>
  </si>
  <si>
    <t>Milanovski</t>
  </si>
  <si>
    <t>Координатор во централно машинско одржување</t>
  </si>
  <si>
    <t>Central mechanical workshop Coordinator</t>
  </si>
  <si>
    <t>Конески</t>
  </si>
  <si>
    <t>Koneski</t>
  </si>
  <si>
    <t>Оператор на затезна рамналка и двостан</t>
  </si>
  <si>
    <t>Tension Leveler and Skin Pass Operator</t>
  </si>
  <si>
    <t>Милошевски</t>
  </si>
  <si>
    <t>Miloshevski</t>
  </si>
  <si>
    <t>Елза</t>
  </si>
  <si>
    <t>Elza</t>
  </si>
  <si>
    <t>Чирков</t>
  </si>
  <si>
    <t>Chirkov</t>
  </si>
  <si>
    <t>Цветаноски</t>
  </si>
  <si>
    <t>Cvetanoski</t>
  </si>
  <si>
    <t>Мартин</t>
  </si>
  <si>
    <t>Martin</t>
  </si>
  <si>
    <t>Душко</t>
  </si>
  <si>
    <t>Blazevski</t>
  </si>
  <si>
    <t>Dushko</t>
  </si>
  <si>
    <t>Сали</t>
  </si>
  <si>
    <t>Муаммет</t>
  </si>
  <si>
    <t>Sali</t>
  </si>
  <si>
    <t>Muammet</t>
  </si>
  <si>
    <t>Кристијан</t>
  </si>
  <si>
    <t>Kristijan</t>
  </si>
  <si>
    <t>Дилавер</t>
  </si>
  <si>
    <t>Dilaver</t>
  </si>
  <si>
    <t xml:space="preserve"> Координатор на МО</t>
  </si>
  <si>
    <t>Нешков</t>
  </si>
  <si>
    <t>Neshkov</t>
  </si>
  <si>
    <t>Управувач на преса за обрачи</t>
  </si>
  <si>
    <t>Operator for packing rings</t>
  </si>
  <si>
    <t>Илиќ</t>
  </si>
  <si>
    <t>Ilikj</t>
  </si>
  <si>
    <t>Трендевски</t>
  </si>
  <si>
    <t>Trendevski</t>
  </si>
  <si>
    <t>Лaзевски</t>
  </si>
  <si>
    <t>Lazevski</t>
  </si>
  <si>
    <t>Брусач-Технолог-</t>
  </si>
  <si>
    <t>Grinder / Technologist</t>
  </si>
  <si>
    <t>Драгутиновски</t>
  </si>
  <si>
    <t>Dragutinovski</t>
  </si>
  <si>
    <t>Христо</t>
  </si>
  <si>
    <t>Hristo</t>
  </si>
  <si>
    <t>Мангаров</t>
  </si>
  <si>
    <t>Mangarov</t>
  </si>
  <si>
    <t>Белински</t>
  </si>
  <si>
    <t>Спасе</t>
  </si>
  <si>
    <t>Belinski</t>
  </si>
  <si>
    <t>Spase</t>
  </si>
  <si>
    <t>Арсеновски</t>
  </si>
  <si>
    <t>Живорад</t>
  </si>
  <si>
    <t>Arsenovski</t>
  </si>
  <si>
    <t>Zhivorad</t>
  </si>
  <si>
    <t>Пијаковски</t>
  </si>
  <si>
    <t>Pijakovski</t>
  </si>
  <si>
    <t>Димитријески</t>
  </si>
  <si>
    <t>Dimitrijeski</t>
  </si>
  <si>
    <t>Електричар</t>
  </si>
  <si>
    <t>Electrician-</t>
  </si>
  <si>
    <t>Јованоски</t>
  </si>
  <si>
    <t>Душан</t>
  </si>
  <si>
    <t>Jovanoski</t>
  </si>
  <si>
    <t>Dushan</t>
  </si>
  <si>
    <t>Директор за продажба</t>
  </si>
  <si>
    <t>Country Head Balkans</t>
  </si>
  <si>
    <t>Менаџер за техничка поддршка на клиентите (МТП)</t>
  </si>
  <si>
    <t>CTS Manager</t>
  </si>
  <si>
    <t>Димитар</t>
  </si>
  <si>
    <t>Dimitar</t>
  </si>
  <si>
    <t>Љусјани</t>
  </si>
  <si>
    <t>Имер</t>
  </si>
  <si>
    <t>Ljusjani</t>
  </si>
  <si>
    <t>Imer</t>
  </si>
  <si>
    <t>Боби</t>
  </si>
  <si>
    <t>Gjogjievski</t>
  </si>
  <si>
    <t>Bobi</t>
  </si>
  <si>
    <t>Ѓорѓевски</t>
  </si>
  <si>
    <t>Христијан</t>
  </si>
  <si>
    <t>Gjorgjevski</t>
  </si>
  <si>
    <t>Hristijan</t>
  </si>
  <si>
    <t>Техничар на процес Лужилница и Тандем и обележувач (ножици)</t>
  </si>
  <si>
    <t>Process technician PKL TD and marker (Shear Line),</t>
  </si>
  <si>
    <t>Саровски</t>
  </si>
  <si>
    <t>Темелко</t>
  </si>
  <si>
    <t>Sarovski</t>
  </si>
  <si>
    <t>Temelko</t>
  </si>
  <si>
    <t>Кекеновски</t>
  </si>
  <si>
    <t>Даме</t>
  </si>
  <si>
    <t>Kekenovski</t>
  </si>
  <si>
    <t>Dame</t>
  </si>
  <si>
    <t>Јусуфи</t>
  </si>
  <si>
    <t>Африм</t>
  </si>
  <si>
    <t>Jusufi</t>
  </si>
  <si>
    <t>Afrim</t>
  </si>
  <si>
    <t>Главен оператор</t>
  </si>
  <si>
    <t>Main operator</t>
  </si>
  <si>
    <t>Дамјановски</t>
  </si>
  <si>
    <t>Damjanovski</t>
  </si>
  <si>
    <t>Ибраими</t>
  </si>
  <si>
    <t>Бесник</t>
  </si>
  <si>
    <t>Ibraimi</t>
  </si>
  <si>
    <t>Besnik</t>
  </si>
  <si>
    <t>Величковски</t>
  </si>
  <si>
    <t>Velichkovski</t>
  </si>
  <si>
    <t>Аднан</t>
  </si>
  <si>
    <t>Adnan</t>
  </si>
  <si>
    <t>Чоробенска</t>
  </si>
  <si>
    <t>Билјана</t>
  </si>
  <si>
    <t>Chorobenska</t>
  </si>
  <si>
    <t>Главен референт за односи со клиенти</t>
  </si>
  <si>
    <t>Customer Service Lead</t>
  </si>
  <si>
    <t>Владан</t>
  </si>
  <si>
    <t>Vladan</t>
  </si>
  <si>
    <t>Инженер за автоматизација</t>
  </si>
  <si>
    <t>Automation engineer</t>
  </si>
  <si>
    <t>Незировски</t>
  </si>
  <si>
    <t>Адис</t>
  </si>
  <si>
    <t>Nezirovski</t>
  </si>
  <si>
    <t>Adis</t>
  </si>
  <si>
    <t>Асим</t>
  </si>
  <si>
    <t>Asim</t>
  </si>
  <si>
    <t>Спасески</t>
  </si>
  <si>
    <t>Spaseski</t>
  </si>
  <si>
    <t>Ицковски</t>
  </si>
  <si>
    <t>Ickovski</t>
  </si>
  <si>
    <t>Мујовиќ</t>
  </si>
  <si>
    <t>Ибрахим</t>
  </si>
  <si>
    <t>Mujovikj</t>
  </si>
  <si>
    <t>Ibrahim</t>
  </si>
  <si>
    <t>Гроздановски</t>
  </si>
  <si>
    <t>Grozdanovski</t>
  </si>
  <si>
    <t>Стојановиќ</t>
  </si>
  <si>
    <t>Stojanovikj</t>
  </si>
  <si>
    <t>Зафировиќ</t>
  </si>
  <si>
    <t>Михајло</t>
  </si>
  <si>
    <t>Zafirovikj</t>
  </si>
  <si>
    <t>Mihajlo</t>
  </si>
  <si>
    <t>Оператор на двостан, затезна рамналка и тандем</t>
  </si>
  <si>
    <t>Skin Pass, Tension Levele and Tandem operator</t>
  </si>
  <si>
    <t>Тргачевска</t>
  </si>
  <si>
    <t>Александра</t>
  </si>
  <si>
    <t>Trgachevska</t>
  </si>
  <si>
    <t>Aleksandra</t>
  </si>
  <si>
    <t>Марјанче</t>
  </si>
  <si>
    <t>Marjanche</t>
  </si>
  <si>
    <t>Далибор</t>
  </si>
  <si>
    <t>Dalibor</t>
  </si>
  <si>
    <t>Станоески</t>
  </si>
  <si>
    <t>Stanoeski</t>
  </si>
  <si>
    <t>Референт за информатичка технологија</t>
  </si>
  <si>
    <t>IT officer</t>
  </si>
  <si>
    <t>Ѓорѓи</t>
  </si>
  <si>
    <t>Gjorgji</t>
  </si>
  <si>
    <t>Референт за логистика</t>
  </si>
  <si>
    <t>Logistics Officer</t>
  </si>
  <si>
    <t>Гицева</t>
  </si>
  <si>
    <t>Каранфилка</t>
  </si>
  <si>
    <t>Giceva</t>
  </si>
  <si>
    <t>Karanfilka</t>
  </si>
  <si>
    <t>Митодевски</t>
  </si>
  <si>
    <t>Mitodevski</t>
  </si>
  <si>
    <t>Менаџер на оддл за информатичка технологија</t>
  </si>
  <si>
    <t>IT manager</t>
  </si>
  <si>
    <t>Димевски</t>
  </si>
  <si>
    <t>Dimevski</t>
  </si>
  <si>
    <t>Видинска</t>
  </si>
  <si>
    <t>Виолета</t>
  </si>
  <si>
    <t>Vidinska</t>
  </si>
  <si>
    <t>Violeta</t>
  </si>
  <si>
    <t>Ацо</t>
  </si>
  <si>
    <t>Aco</t>
  </si>
  <si>
    <t>Пановски</t>
  </si>
  <si>
    <t>Panovski</t>
  </si>
  <si>
    <t>Јошовиќ</t>
  </si>
  <si>
    <t>Joshovikj</t>
  </si>
  <si>
    <t>Технолог-</t>
  </si>
  <si>
    <t>Locksmith/Welder--</t>
  </si>
  <si>
    <t>Ливрински</t>
  </si>
  <si>
    <t>Livrinski</t>
  </si>
  <si>
    <t>Ламбринидис</t>
  </si>
  <si>
    <t>Сања</t>
  </si>
  <si>
    <t>Lambrinidis</t>
  </si>
  <si>
    <t>Sanja</t>
  </si>
  <si>
    <t>Асистент за планирање на производство и стратегија</t>
  </si>
  <si>
    <t>Production planning and strategy Assistant</t>
  </si>
  <si>
    <t>Смилковски</t>
  </si>
  <si>
    <t>Smilkovski</t>
  </si>
  <si>
    <t>Леон</t>
  </si>
  <si>
    <t>Leon</t>
  </si>
  <si>
    <t>Зекири</t>
  </si>
  <si>
    <t>Енис</t>
  </si>
  <si>
    <t>Zekjiri</t>
  </si>
  <si>
    <t>Enis</t>
  </si>
  <si>
    <t>Малков</t>
  </si>
  <si>
    <t>Malkov</t>
  </si>
  <si>
    <t>Момчиловски</t>
  </si>
  <si>
    <t>Momchilovski</t>
  </si>
  <si>
    <t>Говедаровски</t>
  </si>
  <si>
    <t>Оливер</t>
  </si>
  <si>
    <t>Govedarovski</t>
  </si>
  <si>
    <t>Oliver</t>
  </si>
  <si>
    <t>Руфати</t>
  </si>
  <si>
    <t>Руфат</t>
  </si>
  <si>
    <t>Rufati</t>
  </si>
  <si>
    <t>Rufat</t>
  </si>
  <si>
    <t>Пецевски</t>
  </si>
  <si>
    <t>Васе</t>
  </si>
  <si>
    <t>Pecevski</t>
  </si>
  <si>
    <t>Vase</t>
  </si>
  <si>
    <t>Карајановска</t>
  </si>
  <si>
    <t>Кристина</t>
  </si>
  <si>
    <t>Karajanovska</t>
  </si>
  <si>
    <t>Kristina</t>
  </si>
  <si>
    <t>Асистент за продажба</t>
  </si>
  <si>
    <t>Account Assistant</t>
  </si>
  <si>
    <t>Видински</t>
  </si>
  <si>
    <t>Сречко</t>
  </si>
  <si>
    <t>Vidinski</t>
  </si>
  <si>
    <t>Srechko</t>
  </si>
  <si>
    <t>Милошоски</t>
  </si>
  <si>
    <t>Miloshoski</t>
  </si>
  <si>
    <t>Контролор оператор на Пластификација</t>
  </si>
  <si>
    <t>Controller operator on PPG line</t>
  </si>
  <si>
    <t>Реџепи</t>
  </si>
  <si>
    <t>Исмаил</t>
  </si>
  <si>
    <t>Redzepi</t>
  </si>
  <si>
    <t>Ismail</t>
  </si>
  <si>
    <t>Електричар на ЕО</t>
  </si>
  <si>
    <t>Коцевски</t>
  </si>
  <si>
    <t>Васил</t>
  </si>
  <si>
    <t>Kocevski</t>
  </si>
  <si>
    <t>Vasil</t>
  </si>
  <si>
    <t>Кушиновски</t>
  </si>
  <si>
    <t>Петре</t>
  </si>
  <si>
    <t>Kushinovski</t>
  </si>
  <si>
    <t>Petre</t>
  </si>
  <si>
    <t>Лебамов</t>
  </si>
  <si>
    <t>Митко</t>
  </si>
  <si>
    <t>Lebamov</t>
  </si>
  <si>
    <t>Mitko</t>
  </si>
  <si>
    <t>Исмаиловски</t>
  </si>
  <si>
    <t>Ѓунер</t>
  </si>
  <si>
    <t>Ismailovski</t>
  </si>
  <si>
    <t>Gjuner</t>
  </si>
  <si>
    <t>Муаремовски</t>
  </si>
  <si>
    <t>Ќамуран</t>
  </si>
  <si>
    <t>Muaremovski</t>
  </si>
  <si>
    <t>Kjamuran</t>
  </si>
  <si>
    <t>Јасин</t>
  </si>
  <si>
    <t>Jasin</t>
  </si>
  <si>
    <t>Соколовиќ</t>
  </si>
  <si>
    <t>Борко</t>
  </si>
  <si>
    <t>Sokolovikj</t>
  </si>
  <si>
    <t>Borko</t>
  </si>
  <si>
    <t>Менаџер на машинско одржување</t>
  </si>
  <si>
    <t>Mechanical Maintenance Manager</t>
  </si>
  <si>
    <t>Деспотоски</t>
  </si>
  <si>
    <t>Despotoski</t>
  </si>
  <si>
    <t>Лазам</t>
  </si>
  <si>
    <t>Шезаир</t>
  </si>
  <si>
    <t>Lazam</t>
  </si>
  <si>
    <t>Shezair</t>
  </si>
  <si>
    <t>Бравар - заварувач на МО</t>
  </si>
  <si>
    <t>МРТ Технолог</t>
  </si>
  <si>
    <t>MRT Technologist</t>
  </si>
  <si>
    <t>Крушарски</t>
  </si>
  <si>
    <t>Krusharski</t>
  </si>
  <si>
    <t>Инженер за машинско одржување-</t>
  </si>
  <si>
    <t>Mechanical Maintenance Engineer-</t>
  </si>
  <si>
    <t>Кузманов</t>
  </si>
  <si>
    <t>Kuzmanov</t>
  </si>
  <si>
    <t>Здравевски</t>
  </si>
  <si>
    <t>Zdravevski</t>
  </si>
  <si>
    <t>Магационер за отпад и готов производ</t>
  </si>
  <si>
    <t>Storekeeper-scrap and final product</t>
  </si>
  <si>
    <t>Дени</t>
  </si>
  <si>
    <t>Deni</t>
  </si>
  <si>
    <t>Чанкуловски</t>
  </si>
  <si>
    <t>Chankulovski</t>
  </si>
  <si>
    <t>Инженер за одржување на инфраструктура</t>
  </si>
  <si>
    <t>Utility Maintenance Engineer</t>
  </si>
  <si>
    <t>Урдаревиќ</t>
  </si>
  <si>
    <t>Urdarevikj</t>
  </si>
  <si>
    <t>Мартиновски</t>
  </si>
  <si>
    <t>Мирослав</t>
  </si>
  <si>
    <t>Martinovski</t>
  </si>
  <si>
    <t>Miroslav</t>
  </si>
  <si>
    <t>Менаџер за машинско одржување-</t>
  </si>
  <si>
    <t>Mechanical Maintenance Manager-</t>
  </si>
  <si>
    <t>Исеинов</t>
  </si>
  <si>
    <t>Емран</t>
  </si>
  <si>
    <t>Iseinov</t>
  </si>
  <si>
    <t>Emran</t>
  </si>
  <si>
    <t>Милковски</t>
  </si>
  <si>
    <t>Мирче</t>
  </si>
  <si>
    <t>Milkovski</t>
  </si>
  <si>
    <t>Mirche</t>
  </si>
  <si>
    <t>Китановски</t>
  </si>
  <si>
    <t>Kitanovski</t>
  </si>
  <si>
    <t>Стефановски</t>
  </si>
  <si>
    <t>Stefanovski</t>
  </si>
  <si>
    <t>Инженер за електро одржување</t>
  </si>
  <si>
    <t>Electrical Maintenance Engineer</t>
  </si>
  <si>
    <t>Менаџер за односи со клиенти и логистика</t>
  </si>
  <si>
    <t>Customer Service and Logistics Manager</t>
  </si>
  <si>
    <t>Љимани</t>
  </si>
  <si>
    <t>Џемаил</t>
  </si>
  <si>
    <t>Ljimani</t>
  </si>
  <si>
    <t>Dzemail</t>
  </si>
  <si>
    <t>Трајковска</t>
  </si>
  <si>
    <t>Trajkovska</t>
  </si>
  <si>
    <t>Крстиќ</t>
  </si>
  <si>
    <t>Krstikj</t>
  </si>
  <si>
    <t>Брусач-</t>
  </si>
  <si>
    <t>Grinder</t>
  </si>
  <si>
    <t>Стојановска</t>
  </si>
  <si>
    <t>Stojanovska</t>
  </si>
  <si>
    <t>Инженер за здравје, безбедност и екологија</t>
  </si>
  <si>
    <t>Health, Safety and Environment Engineer</t>
  </si>
  <si>
    <t>Колароска</t>
  </si>
  <si>
    <t>Kolaroska</t>
  </si>
  <si>
    <t>Контролор за комерцијално и финансиско известување</t>
  </si>
  <si>
    <t>Commercial Controller</t>
  </si>
  <si>
    <t>Савевски</t>
  </si>
  <si>
    <t>Давид</t>
  </si>
  <si>
    <t>Savevski</t>
  </si>
  <si>
    <t>David</t>
  </si>
  <si>
    <t>Емрах</t>
  </si>
  <si>
    <t>Emrah</t>
  </si>
  <si>
    <t>Ице</t>
  </si>
  <si>
    <t>Ice</t>
  </si>
  <si>
    <t>Инженер за електро одржување-</t>
  </si>
  <si>
    <t>Electrical Maintenance Engineer-</t>
  </si>
  <si>
    <t>Даниел</t>
  </si>
  <si>
    <t>Daniel</t>
  </si>
  <si>
    <t>Пешевски</t>
  </si>
  <si>
    <t>Peshevski</t>
  </si>
  <si>
    <t>Михова</t>
  </si>
  <si>
    <t>Наташа</t>
  </si>
  <si>
    <t>Mihova</t>
  </si>
  <si>
    <t>Natasha</t>
  </si>
  <si>
    <t>Референт за сметководствено работење</t>
  </si>
  <si>
    <t>Accounting Officer</t>
  </si>
  <si>
    <t>Зенули</t>
  </si>
  <si>
    <t>Бујар</t>
  </si>
  <si>
    <t>Zenuli</t>
  </si>
  <si>
    <t>Bujar</t>
  </si>
  <si>
    <t>Стојчевска</t>
  </si>
  <si>
    <t>Тамара</t>
  </si>
  <si>
    <t>Stojchevska</t>
  </si>
  <si>
    <t>Tamara</t>
  </si>
  <si>
    <t>Координатор за администрација и одржување</t>
  </si>
  <si>
    <t xml:space="preserve"> Administration Coordinator</t>
  </si>
  <si>
    <t>Велковиќ-Крстева</t>
  </si>
  <si>
    <t>Velkovikj-Krsteva</t>
  </si>
  <si>
    <t>Марио</t>
  </si>
  <si>
    <t>Mario</t>
  </si>
  <si>
    <t>Електричар за висок напон</t>
  </si>
  <si>
    <t>High voltage elektrician-</t>
  </si>
  <si>
    <t>Костадиновски</t>
  </si>
  <si>
    <t>Kostadinovski</t>
  </si>
  <si>
    <t>Константин</t>
  </si>
  <si>
    <t>Konstantin</t>
  </si>
  <si>
    <t>Михајлоски</t>
  </si>
  <si>
    <t>Mihajloski</t>
  </si>
  <si>
    <t>Андоноски</t>
  </si>
  <si>
    <t>Andonoski</t>
  </si>
  <si>
    <t>Каровчевиќ</t>
  </si>
  <si>
    <t>Karovchevikj</t>
  </si>
  <si>
    <t>Тодоровски</t>
  </si>
  <si>
    <t>Todorovski</t>
  </si>
  <si>
    <t>Електро инженер за одржување на кранови и внатрешен транспорт</t>
  </si>
  <si>
    <t>Electrical engineer (Crane Maintenance &amp; Internal Transport)</t>
  </si>
  <si>
    <t>Бошков</t>
  </si>
  <si>
    <t>Атанас</t>
  </si>
  <si>
    <t>Boshkov</t>
  </si>
  <si>
    <t>Atanas</t>
  </si>
  <si>
    <t>Дамјан</t>
  </si>
  <si>
    <t>Damjan</t>
  </si>
  <si>
    <t>Карафилоска</t>
  </si>
  <si>
    <t>Викторија</t>
  </si>
  <si>
    <t>Karafiloska</t>
  </si>
  <si>
    <t>Viktorija</t>
  </si>
  <si>
    <t>Јаневски</t>
  </si>
  <si>
    <t>Janevski</t>
  </si>
  <si>
    <t>Милошоска</t>
  </si>
  <si>
    <t>Маја</t>
  </si>
  <si>
    <t>Miloshoska</t>
  </si>
  <si>
    <t>Maja</t>
  </si>
  <si>
    <t>Стоилковска</t>
  </si>
  <si>
    <t>Stoilkovska</t>
  </si>
  <si>
    <t>Специјалист за пресметка на плата и извештаи</t>
  </si>
  <si>
    <t>Payroll and Reporting Specilist</t>
  </si>
  <si>
    <t>Бостанџиевски</t>
  </si>
  <si>
    <t>Лука</t>
  </si>
  <si>
    <t>Bostandzievski</t>
  </si>
  <si>
    <t>Luka</t>
  </si>
  <si>
    <t>Воиноски</t>
  </si>
  <si>
    <t>Синиша</t>
  </si>
  <si>
    <t>Voinoski</t>
  </si>
  <si>
    <t>Sinisha</t>
  </si>
  <si>
    <t>Мимин</t>
  </si>
  <si>
    <t>Мухамед</t>
  </si>
  <si>
    <t>Mimin</t>
  </si>
  <si>
    <t>Muhamed</t>
  </si>
  <si>
    <t>Нуијовски</t>
  </si>
  <si>
    <t>Нуија</t>
  </si>
  <si>
    <t>Nuijovski</t>
  </si>
  <si>
    <t>Nuija</t>
  </si>
  <si>
    <t>Давковска</t>
  </si>
  <si>
    <t>Davkovska</t>
  </si>
  <si>
    <t>Зенељи</t>
  </si>
  <si>
    <t>Иса</t>
  </si>
  <si>
    <t>Zenelji</t>
  </si>
  <si>
    <t>Isa</t>
  </si>
  <si>
    <t>Ангел</t>
  </si>
  <si>
    <t>Angel</t>
  </si>
  <si>
    <t>Стевковски</t>
  </si>
  <si>
    <t>Stevkovski</t>
  </si>
  <si>
    <t>Ајвази</t>
  </si>
  <si>
    <t>Наим</t>
  </si>
  <si>
    <t>Ajvazi</t>
  </si>
  <si>
    <t>Naim</t>
  </si>
  <si>
    <t>Ачковиќ</t>
  </si>
  <si>
    <t>Achkovikj</t>
  </si>
  <si>
    <t>Андреј</t>
  </si>
  <si>
    <t>Andrej</t>
  </si>
  <si>
    <t>Смилевски</t>
  </si>
  <si>
    <t>Smilevski</t>
  </si>
  <si>
    <t>Манојловиќ</t>
  </si>
  <si>
    <t>Manojlovikj</t>
  </si>
  <si>
    <t>Илиески</t>
  </si>
  <si>
    <t>Ilieski</t>
  </si>
  <si>
    <t>Антонио</t>
  </si>
  <si>
    <t>Antonio</t>
  </si>
  <si>
    <t>Сашка</t>
  </si>
  <si>
    <t>Sashka</t>
  </si>
  <si>
    <t>Административен асистент</t>
  </si>
  <si>
    <t>Administrative assistant</t>
  </si>
  <si>
    <t>Емшеријов</t>
  </si>
  <si>
    <t>Emsherijov</t>
  </si>
  <si>
    <t>Асистент за контрола на квалитет, планирање на производство и стратегија</t>
  </si>
  <si>
    <t>Assistant for quality control, production planning and strategy</t>
  </si>
  <si>
    <t>Богојев</t>
  </si>
  <si>
    <t>Bogojev</t>
  </si>
  <si>
    <t>Идриз</t>
  </si>
  <si>
    <t>Ерол</t>
  </si>
  <si>
    <t>Idriz</t>
  </si>
  <si>
    <t>Erol</t>
  </si>
  <si>
    <t>Благоја</t>
  </si>
  <si>
    <t>Blagoja</t>
  </si>
  <si>
    <t>Трајковиќ</t>
  </si>
  <si>
    <t>Trajkovikj</t>
  </si>
  <si>
    <t>Ѓорѓевска</t>
  </si>
  <si>
    <t>Gjorgjevska</t>
  </si>
  <si>
    <t>Генералист за човечки ресурси</t>
  </si>
  <si>
    <t>HR Generalist</t>
  </si>
  <si>
    <t>Гечева</t>
  </si>
  <si>
    <t>Михаела</t>
  </si>
  <si>
    <t>Gecheva</t>
  </si>
  <si>
    <t>Mihaela</t>
  </si>
  <si>
    <t>Малинова</t>
  </si>
  <si>
    <t>Марија</t>
  </si>
  <si>
    <t>Malinova</t>
  </si>
  <si>
    <t>Marija</t>
  </si>
  <si>
    <t>Сиљаноска</t>
  </si>
  <si>
    <t>Siljanoska</t>
  </si>
  <si>
    <t>Паунковиќ</t>
  </si>
  <si>
    <t>Paunkovikj</t>
  </si>
  <si>
    <t>Цибрева</t>
  </si>
  <si>
    <t>Cibreva</t>
  </si>
  <si>
    <t>Миланчо</t>
  </si>
  <si>
    <t>Milancho</t>
  </si>
  <si>
    <t>Исмаили</t>
  </si>
  <si>
    <t>Јашар</t>
  </si>
  <si>
    <t>Ismaili</t>
  </si>
  <si>
    <t>Jashar</t>
  </si>
  <si>
    <t>Јовановска</t>
  </si>
  <si>
    <t>Христина</t>
  </si>
  <si>
    <t>Jovanovska</t>
  </si>
  <si>
    <t>Hristina</t>
  </si>
  <si>
    <t>Георгиев</t>
  </si>
  <si>
    <t>Georgiev</t>
  </si>
  <si>
    <t>Мирковиќ</t>
  </si>
  <si>
    <t>Mirkovikj</t>
  </si>
  <si>
    <t>Реџеповски</t>
  </si>
  <si>
    <t>Љабинат</t>
  </si>
  <si>
    <t>Redjepovski</t>
  </si>
  <si>
    <t>Ljabinat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</si>
</sst>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E37CA-D5B0-47FA-ACD0-89ADEBF1149F}">
  <dimension ref="A1:L416"/>
  <sheetViews>
    <sheetView tabSelected="1" workbookViewId="0">
      <selection activeCell="O19" sqref="O19"/>
    </sheetView>
  </sheetViews>
  <sheetFormatPr defaultRowHeight="15" x14ac:dyDescent="0.25"/>
  <cols>
    <col min="1" max="1" width="4.5703125" customWidth="1"/>
    <col min="3" max="3" width="17.140625" customWidth="1"/>
    <col min="4" max="4" width="14.7109375" customWidth="1"/>
    <col min="5" max="5" width="11" customWidth="1"/>
    <col min="6" max="6" width="11.140625" customWidth="1"/>
    <col min="8" max="8" width="13.85546875" customWidth="1"/>
    <col min="9" max="9" width="11" customWidth="1"/>
    <col min="10" max="10" width="12.7109375" customWidth="1"/>
    <col min="11" max="11" width="9.140625" style="2"/>
    <col min="12" max="12" width="11.140625" style="2" customWidth="1"/>
  </cols>
  <sheetData>
    <row r="1" spans="1:12" x14ac:dyDescent="0.25">
      <c r="D1" t="s">
        <v>0</v>
      </c>
    </row>
    <row r="2" spans="1:12" x14ac:dyDescent="0.25">
      <c r="A2" t="s">
        <v>1</v>
      </c>
    </row>
    <row r="3" spans="1:12" s="1" customFormat="1" ht="4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3" t="s">
        <v>12</v>
      </c>
      <c r="L3" s="3" t="s">
        <v>13</v>
      </c>
    </row>
    <row r="4" spans="1:12" x14ac:dyDescent="0.25">
      <c r="A4">
        <v>1</v>
      </c>
      <c r="B4">
        <v>16130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s="2">
        <v>63</v>
      </c>
      <c r="L4" s="2" t="str">
        <f>"42.03.04"</f>
        <v>42.03.04</v>
      </c>
    </row>
    <row r="5" spans="1:12" x14ac:dyDescent="0.25">
      <c r="A5">
        <v>2</v>
      </c>
      <c r="B5">
        <v>16695</v>
      </c>
      <c r="C5" t="s">
        <v>22</v>
      </c>
      <c r="D5" t="s">
        <v>23</v>
      </c>
      <c r="E5" t="s">
        <v>24</v>
      </c>
      <c r="F5" t="s">
        <v>25</v>
      </c>
      <c r="G5" t="s">
        <v>18</v>
      </c>
      <c r="H5" t="s">
        <v>26</v>
      </c>
      <c r="I5" t="s">
        <v>27</v>
      </c>
      <c r="J5" t="s">
        <v>21</v>
      </c>
      <c r="K5" s="2">
        <v>62</v>
      </c>
      <c r="L5" s="2" t="str">
        <f>"41.03.25"</f>
        <v>41.03.25</v>
      </c>
    </row>
    <row r="6" spans="1:12" x14ac:dyDescent="0.25">
      <c r="A6">
        <v>3</v>
      </c>
      <c r="B6">
        <v>16720</v>
      </c>
      <c r="C6" t="s">
        <v>28</v>
      </c>
      <c r="D6" t="s">
        <v>29</v>
      </c>
      <c r="E6" t="s">
        <v>30</v>
      </c>
      <c r="F6" t="s">
        <v>31</v>
      </c>
      <c r="G6" t="s">
        <v>18</v>
      </c>
      <c r="H6" t="s">
        <v>32</v>
      </c>
      <c r="I6" t="s">
        <v>33</v>
      </c>
      <c r="J6" t="s">
        <v>21</v>
      </c>
      <c r="K6" s="2">
        <v>62</v>
      </c>
      <c r="L6" s="2" t="str">
        <f>"41.03.25"</f>
        <v>41.03.25</v>
      </c>
    </row>
    <row r="7" spans="1:12" x14ac:dyDescent="0.25">
      <c r="A7">
        <v>4</v>
      </c>
      <c r="B7">
        <v>16827</v>
      </c>
      <c r="C7" t="s">
        <v>34</v>
      </c>
      <c r="D7" t="s">
        <v>35</v>
      </c>
      <c r="E7" t="s">
        <v>36</v>
      </c>
      <c r="F7" t="s">
        <v>37</v>
      </c>
      <c r="G7" t="s">
        <v>18</v>
      </c>
      <c r="H7" t="s">
        <v>38</v>
      </c>
      <c r="I7" t="s">
        <v>39</v>
      </c>
      <c r="J7" t="s">
        <v>21</v>
      </c>
      <c r="K7" s="2">
        <v>61</v>
      </c>
      <c r="L7" s="2" t="str">
        <f>"41.00.16"</f>
        <v>41.00.16</v>
      </c>
    </row>
    <row r="8" spans="1:12" x14ac:dyDescent="0.25">
      <c r="A8">
        <v>5</v>
      </c>
      <c r="B8">
        <v>16984</v>
      </c>
      <c r="C8" t="s">
        <v>40</v>
      </c>
      <c r="D8" t="s">
        <v>41</v>
      </c>
      <c r="E8" t="s">
        <v>42</v>
      </c>
      <c r="F8" t="s">
        <v>43</v>
      </c>
      <c r="G8" t="s">
        <v>18</v>
      </c>
      <c r="H8" t="s">
        <v>44</v>
      </c>
      <c r="I8" t="s">
        <v>45</v>
      </c>
      <c r="J8" t="s">
        <v>21</v>
      </c>
      <c r="K8" s="2">
        <v>61</v>
      </c>
      <c r="L8" s="2" t="str">
        <f>"40.09.28"</f>
        <v>40.09.28</v>
      </c>
    </row>
    <row r="9" spans="1:12" x14ac:dyDescent="0.25">
      <c r="A9">
        <v>6</v>
      </c>
      <c r="B9">
        <v>17011</v>
      </c>
      <c r="C9" t="s">
        <v>46</v>
      </c>
      <c r="D9" t="s">
        <v>47</v>
      </c>
      <c r="E9" t="s">
        <v>48</v>
      </c>
      <c r="F9" t="s">
        <v>49</v>
      </c>
      <c r="G9" t="s">
        <v>18</v>
      </c>
      <c r="H9" t="s">
        <v>50</v>
      </c>
      <c r="I9" t="s">
        <v>51</v>
      </c>
      <c r="J9" t="s">
        <v>21</v>
      </c>
      <c r="K9" s="2">
        <v>61</v>
      </c>
      <c r="L9" s="2" t="str">
        <f>"40.09.20"</f>
        <v>40.09.20</v>
      </c>
    </row>
    <row r="10" spans="1:12" x14ac:dyDescent="0.25">
      <c r="A10">
        <v>7</v>
      </c>
      <c r="B10">
        <v>17055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21</v>
      </c>
      <c r="K10" s="2">
        <v>61</v>
      </c>
      <c r="L10" s="2" t="str">
        <f>"41.02.09"</f>
        <v>41.02.09</v>
      </c>
    </row>
    <row r="11" spans="1:12" x14ac:dyDescent="0.25">
      <c r="A11">
        <v>8</v>
      </c>
      <c r="B11">
        <v>17064</v>
      </c>
      <c r="C11" t="s">
        <v>22</v>
      </c>
      <c r="D11" t="s">
        <v>59</v>
      </c>
      <c r="E11" t="s">
        <v>24</v>
      </c>
      <c r="F11" t="s">
        <v>60</v>
      </c>
      <c r="G11" t="s">
        <v>18</v>
      </c>
      <c r="H11" t="s">
        <v>61</v>
      </c>
      <c r="I11" t="s">
        <v>62</v>
      </c>
      <c r="J11" t="s">
        <v>63</v>
      </c>
      <c r="K11" s="2">
        <v>62</v>
      </c>
      <c r="L11" s="2" t="str">
        <f>"40.08.23"</f>
        <v>40.08.23</v>
      </c>
    </row>
    <row r="12" spans="1:12" x14ac:dyDescent="0.25">
      <c r="A12">
        <v>9</v>
      </c>
      <c r="B12">
        <v>17148</v>
      </c>
      <c r="C12" t="s">
        <v>64</v>
      </c>
      <c r="D12" t="s">
        <v>65</v>
      </c>
      <c r="E12" t="s">
        <v>66</v>
      </c>
      <c r="F12" t="s">
        <v>67</v>
      </c>
      <c r="G12" t="s">
        <v>18</v>
      </c>
      <c r="H12" t="s">
        <v>68</v>
      </c>
      <c r="I12" t="s">
        <v>69</v>
      </c>
      <c r="J12" t="s">
        <v>21</v>
      </c>
      <c r="K12" s="2">
        <v>60</v>
      </c>
      <c r="L12" s="2" t="str">
        <f>"40.04.18"</f>
        <v>40.04.18</v>
      </c>
    </row>
    <row r="13" spans="1:12" x14ac:dyDescent="0.25">
      <c r="A13">
        <v>10</v>
      </c>
      <c r="B13">
        <v>17772</v>
      </c>
      <c r="C13" t="s">
        <v>70</v>
      </c>
      <c r="D13" t="s">
        <v>71</v>
      </c>
      <c r="E13" t="s">
        <v>72</v>
      </c>
      <c r="F13" t="s">
        <v>73</v>
      </c>
      <c r="G13" t="s">
        <v>18</v>
      </c>
      <c r="H13" t="s">
        <v>74</v>
      </c>
      <c r="I13" t="s">
        <v>75</v>
      </c>
      <c r="J13" t="s">
        <v>21</v>
      </c>
      <c r="K13" s="2">
        <v>59</v>
      </c>
      <c r="L13" s="2" t="str">
        <f>"39.04.23"</f>
        <v>39.04.23</v>
      </c>
    </row>
    <row r="14" spans="1:12" x14ac:dyDescent="0.25">
      <c r="A14">
        <v>11</v>
      </c>
      <c r="B14">
        <v>17884</v>
      </c>
      <c r="C14" t="s">
        <v>76</v>
      </c>
      <c r="D14" t="s">
        <v>77</v>
      </c>
      <c r="E14" t="s">
        <v>78</v>
      </c>
      <c r="F14" t="s">
        <v>79</v>
      </c>
      <c r="G14" t="s">
        <v>56</v>
      </c>
      <c r="H14" t="s">
        <v>80</v>
      </c>
      <c r="I14" t="s">
        <v>81</v>
      </c>
      <c r="J14" t="s">
        <v>63</v>
      </c>
      <c r="K14" s="2">
        <v>59</v>
      </c>
      <c r="L14" s="2" t="str">
        <f>"39.02.03"</f>
        <v>39.02.03</v>
      </c>
    </row>
    <row r="15" spans="1:12" x14ac:dyDescent="0.25">
      <c r="A15">
        <v>12</v>
      </c>
      <c r="B15">
        <v>17893</v>
      </c>
      <c r="C15" t="s">
        <v>82</v>
      </c>
      <c r="D15" t="s">
        <v>35</v>
      </c>
      <c r="E15" t="s">
        <v>83</v>
      </c>
      <c r="F15" t="s">
        <v>37</v>
      </c>
      <c r="G15" t="s">
        <v>18</v>
      </c>
      <c r="H15" t="s">
        <v>84</v>
      </c>
      <c r="I15" t="s">
        <v>85</v>
      </c>
      <c r="J15" t="s">
        <v>86</v>
      </c>
      <c r="K15" s="2">
        <v>61</v>
      </c>
      <c r="L15" s="2" t="str">
        <f>"39.02.04"</f>
        <v>39.02.04</v>
      </c>
    </row>
    <row r="16" spans="1:12" x14ac:dyDescent="0.25">
      <c r="A16">
        <v>13</v>
      </c>
      <c r="B16">
        <v>17896</v>
      </c>
      <c r="C16" t="s">
        <v>87</v>
      </c>
      <c r="D16" t="s">
        <v>88</v>
      </c>
      <c r="E16" t="s">
        <v>89</v>
      </c>
      <c r="F16" t="s">
        <v>90</v>
      </c>
      <c r="G16" t="s">
        <v>18</v>
      </c>
      <c r="H16" t="s">
        <v>91</v>
      </c>
      <c r="I16" t="s">
        <v>92</v>
      </c>
      <c r="J16" t="s">
        <v>21</v>
      </c>
      <c r="K16" s="2">
        <v>61</v>
      </c>
      <c r="L16" s="2" t="str">
        <f>"39.02.04"</f>
        <v>39.02.04</v>
      </c>
    </row>
    <row r="17" spans="1:12" x14ac:dyDescent="0.25">
      <c r="A17">
        <v>14</v>
      </c>
      <c r="B17">
        <v>18158</v>
      </c>
      <c r="C17" t="s">
        <v>93</v>
      </c>
      <c r="D17" t="s">
        <v>94</v>
      </c>
      <c r="E17" t="s">
        <v>95</v>
      </c>
      <c r="F17" t="s">
        <v>96</v>
      </c>
      <c r="G17" t="s">
        <v>18</v>
      </c>
      <c r="H17" t="s">
        <v>97</v>
      </c>
      <c r="I17" t="s">
        <v>39</v>
      </c>
      <c r="J17" t="s">
        <v>21</v>
      </c>
      <c r="K17" s="2">
        <v>61</v>
      </c>
      <c r="L17" s="2" t="str">
        <f>"38.10.20"</f>
        <v>38.10.20</v>
      </c>
    </row>
    <row r="18" spans="1:12" x14ac:dyDescent="0.25">
      <c r="A18">
        <v>15</v>
      </c>
      <c r="B18">
        <v>18162</v>
      </c>
      <c r="C18" t="s">
        <v>98</v>
      </c>
      <c r="D18" t="s">
        <v>99</v>
      </c>
      <c r="E18" t="s">
        <v>100</v>
      </c>
      <c r="F18" t="s">
        <v>101</v>
      </c>
      <c r="G18" t="s">
        <v>18</v>
      </c>
      <c r="H18" t="s">
        <v>50</v>
      </c>
      <c r="I18" t="s">
        <v>27</v>
      </c>
      <c r="J18" t="s">
        <v>21</v>
      </c>
      <c r="K18" s="2">
        <v>59</v>
      </c>
      <c r="L18" s="2" t="str">
        <f>"38.10.18"</f>
        <v>38.10.18</v>
      </c>
    </row>
    <row r="19" spans="1:12" x14ac:dyDescent="0.25">
      <c r="A19">
        <v>16</v>
      </c>
      <c r="B19">
        <v>18392</v>
      </c>
      <c r="C19" t="s">
        <v>102</v>
      </c>
      <c r="D19" t="s">
        <v>103</v>
      </c>
      <c r="E19" t="s">
        <v>104</v>
      </c>
      <c r="F19" t="s">
        <v>105</v>
      </c>
      <c r="G19" t="s">
        <v>18</v>
      </c>
      <c r="H19" t="s">
        <v>106</v>
      </c>
      <c r="I19" t="s">
        <v>107</v>
      </c>
      <c r="J19" t="s">
        <v>21</v>
      </c>
      <c r="K19" s="2">
        <v>60</v>
      </c>
      <c r="L19" s="2" t="str">
        <f>"38.09.24"</f>
        <v>38.09.24</v>
      </c>
    </row>
    <row r="20" spans="1:12" x14ac:dyDescent="0.25">
      <c r="A20">
        <v>17</v>
      </c>
      <c r="B20">
        <v>18412</v>
      </c>
      <c r="C20" t="s">
        <v>108</v>
      </c>
      <c r="D20" t="s">
        <v>109</v>
      </c>
      <c r="E20" t="s">
        <v>110</v>
      </c>
      <c r="F20" t="s">
        <v>111</v>
      </c>
      <c r="G20" t="s">
        <v>18</v>
      </c>
      <c r="H20" t="s">
        <v>112</v>
      </c>
      <c r="I20" t="s">
        <v>27</v>
      </c>
      <c r="J20" t="s">
        <v>21</v>
      </c>
      <c r="K20" s="2">
        <v>59</v>
      </c>
      <c r="L20" s="2" t="str">
        <f>"38.09.15"</f>
        <v>38.09.15</v>
      </c>
    </row>
    <row r="21" spans="1:12" x14ac:dyDescent="0.25">
      <c r="A21">
        <v>18</v>
      </c>
      <c r="B21">
        <v>18471</v>
      </c>
      <c r="C21" t="s">
        <v>113</v>
      </c>
      <c r="D21" t="s">
        <v>114</v>
      </c>
      <c r="E21" t="s">
        <v>115</v>
      </c>
      <c r="F21" t="s">
        <v>116</v>
      </c>
      <c r="G21" t="s">
        <v>56</v>
      </c>
      <c r="H21" t="s">
        <v>117</v>
      </c>
      <c r="I21" t="s">
        <v>118</v>
      </c>
      <c r="J21" t="s">
        <v>63</v>
      </c>
      <c r="K21" s="2">
        <v>61</v>
      </c>
      <c r="L21" s="2" t="str">
        <f>"38.07.11"</f>
        <v>38.07.11</v>
      </c>
    </row>
    <row r="22" spans="1:12" x14ac:dyDescent="0.25">
      <c r="A22">
        <v>19</v>
      </c>
      <c r="B22">
        <v>18529</v>
      </c>
      <c r="C22" t="s">
        <v>119</v>
      </c>
      <c r="D22" t="s">
        <v>120</v>
      </c>
      <c r="E22" t="s">
        <v>121</v>
      </c>
      <c r="F22" t="s">
        <v>122</v>
      </c>
      <c r="G22" t="s">
        <v>18</v>
      </c>
      <c r="H22" t="s">
        <v>50</v>
      </c>
      <c r="I22" t="s">
        <v>27</v>
      </c>
      <c r="J22" t="s">
        <v>21</v>
      </c>
      <c r="K22" s="2">
        <v>62</v>
      </c>
      <c r="L22" s="2" t="str">
        <f>"38.05.21"</f>
        <v>38.05.21</v>
      </c>
    </row>
    <row r="23" spans="1:12" x14ac:dyDescent="0.25">
      <c r="A23">
        <v>20</v>
      </c>
      <c r="B23">
        <v>18533</v>
      </c>
      <c r="C23" t="s">
        <v>123</v>
      </c>
      <c r="D23" t="s">
        <v>124</v>
      </c>
      <c r="E23" t="s">
        <v>125</v>
      </c>
      <c r="F23" t="s">
        <v>126</v>
      </c>
      <c r="G23" t="s">
        <v>56</v>
      </c>
      <c r="H23" t="s">
        <v>127</v>
      </c>
      <c r="I23" t="s">
        <v>128</v>
      </c>
      <c r="J23" t="s">
        <v>21</v>
      </c>
      <c r="K23" s="2">
        <v>60</v>
      </c>
      <c r="L23" s="2" t="str">
        <f>"38.05.22"</f>
        <v>38.05.22</v>
      </c>
    </row>
    <row r="24" spans="1:12" x14ac:dyDescent="0.25">
      <c r="A24">
        <v>21</v>
      </c>
      <c r="B24">
        <v>18874</v>
      </c>
      <c r="C24" t="s">
        <v>129</v>
      </c>
      <c r="D24" t="s">
        <v>65</v>
      </c>
      <c r="E24" t="s">
        <v>130</v>
      </c>
      <c r="F24" t="s">
        <v>67</v>
      </c>
      <c r="G24" t="s">
        <v>18</v>
      </c>
      <c r="H24" t="s">
        <v>131</v>
      </c>
      <c r="I24" t="s">
        <v>132</v>
      </c>
      <c r="J24" t="s">
        <v>21</v>
      </c>
      <c r="K24" s="2">
        <v>58</v>
      </c>
      <c r="L24" s="2" t="str">
        <f>"38.01.21"</f>
        <v>38.01.21</v>
      </c>
    </row>
    <row r="25" spans="1:12" x14ac:dyDescent="0.25">
      <c r="A25">
        <v>22</v>
      </c>
      <c r="B25">
        <v>18876</v>
      </c>
      <c r="C25" t="s">
        <v>133</v>
      </c>
      <c r="D25" t="s">
        <v>134</v>
      </c>
      <c r="E25" t="s">
        <v>135</v>
      </c>
      <c r="F25" t="s">
        <v>136</v>
      </c>
      <c r="G25" t="s">
        <v>18</v>
      </c>
      <c r="H25" t="s">
        <v>97</v>
      </c>
      <c r="I25" t="s">
        <v>39</v>
      </c>
      <c r="J25" t="s">
        <v>21</v>
      </c>
      <c r="K25" s="2">
        <v>58</v>
      </c>
      <c r="L25" s="2" t="str">
        <f>"38.02.03"</f>
        <v>38.02.03</v>
      </c>
    </row>
    <row r="26" spans="1:12" x14ac:dyDescent="0.25">
      <c r="A26">
        <v>23</v>
      </c>
      <c r="B26">
        <v>19370</v>
      </c>
      <c r="C26" t="s">
        <v>40</v>
      </c>
      <c r="D26" t="s">
        <v>59</v>
      </c>
      <c r="E26" t="s">
        <v>42</v>
      </c>
      <c r="F26" t="s">
        <v>60</v>
      </c>
      <c r="G26" t="s">
        <v>18</v>
      </c>
      <c r="H26" t="s">
        <v>137</v>
      </c>
      <c r="I26" t="s">
        <v>138</v>
      </c>
      <c r="J26" t="s">
        <v>21</v>
      </c>
      <c r="K26" s="2">
        <v>60</v>
      </c>
      <c r="L26" s="2" t="str">
        <f>"35.11.29"</f>
        <v>35.11.29</v>
      </c>
    </row>
    <row r="27" spans="1:12" x14ac:dyDescent="0.25">
      <c r="A27">
        <v>24</v>
      </c>
      <c r="B27">
        <v>19379</v>
      </c>
      <c r="C27" t="s">
        <v>139</v>
      </c>
      <c r="D27" t="s">
        <v>140</v>
      </c>
      <c r="E27" t="s">
        <v>141</v>
      </c>
      <c r="F27" t="s">
        <v>142</v>
      </c>
      <c r="G27" t="s">
        <v>18</v>
      </c>
      <c r="H27" t="s">
        <v>143</v>
      </c>
      <c r="I27" t="s">
        <v>144</v>
      </c>
      <c r="J27" t="s">
        <v>21</v>
      </c>
      <c r="K27" s="2">
        <v>59</v>
      </c>
      <c r="L27" s="2" t="str">
        <f>"35.11.29"</f>
        <v>35.11.29</v>
      </c>
    </row>
    <row r="28" spans="1:12" x14ac:dyDescent="0.25">
      <c r="A28">
        <v>25</v>
      </c>
      <c r="B28">
        <v>19767</v>
      </c>
      <c r="C28" t="s">
        <v>145</v>
      </c>
      <c r="D28" t="s">
        <v>146</v>
      </c>
      <c r="E28" t="s">
        <v>147</v>
      </c>
      <c r="F28" t="s">
        <v>148</v>
      </c>
      <c r="G28" t="s">
        <v>18</v>
      </c>
      <c r="H28" t="s">
        <v>50</v>
      </c>
      <c r="I28" t="s">
        <v>27</v>
      </c>
      <c r="J28" t="s">
        <v>21</v>
      </c>
      <c r="K28" s="2">
        <v>48</v>
      </c>
      <c r="L28" s="2" t="str">
        <f>"27.11.06"</f>
        <v>27.11.06</v>
      </c>
    </row>
    <row r="29" spans="1:12" x14ac:dyDescent="0.25">
      <c r="A29">
        <v>26</v>
      </c>
      <c r="B29">
        <v>19775</v>
      </c>
      <c r="C29" t="s">
        <v>149</v>
      </c>
      <c r="D29" t="s">
        <v>150</v>
      </c>
      <c r="E29" t="s">
        <v>151</v>
      </c>
      <c r="F29" t="s">
        <v>152</v>
      </c>
      <c r="G29" t="s">
        <v>18</v>
      </c>
      <c r="H29" t="s">
        <v>112</v>
      </c>
      <c r="I29" t="s">
        <v>51</v>
      </c>
      <c r="J29" t="s">
        <v>21</v>
      </c>
      <c r="K29" s="2">
        <v>57</v>
      </c>
      <c r="L29" s="2" t="str">
        <f>"27.11.07"</f>
        <v>27.11.07</v>
      </c>
    </row>
    <row r="30" spans="1:12" x14ac:dyDescent="0.25">
      <c r="A30">
        <v>27</v>
      </c>
      <c r="B30">
        <v>19776</v>
      </c>
      <c r="C30" t="s">
        <v>153</v>
      </c>
      <c r="D30" t="s">
        <v>154</v>
      </c>
      <c r="E30" t="s">
        <v>155</v>
      </c>
      <c r="F30" t="s">
        <v>156</v>
      </c>
      <c r="G30" t="s">
        <v>18</v>
      </c>
      <c r="H30" t="s">
        <v>137</v>
      </c>
      <c r="I30" t="s">
        <v>138</v>
      </c>
      <c r="J30" t="s">
        <v>21</v>
      </c>
      <c r="K30" s="2">
        <v>45</v>
      </c>
      <c r="L30" s="2" t="str">
        <f>"27.02.21"</f>
        <v>27.02.21</v>
      </c>
    </row>
    <row r="31" spans="1:12" x14ac:dyDescent="0.25">
      <c r="A31">
        <v>28</v>
      </c>
      <c r="B31">
        <v>19777</v>
      </c>
      <c r="C31" t="s">
        <v>157</v>
      </c>
      <c r="D31" t="s">
        <v>146</v>
      </c>
      <c r="E31" t="s">
        <v>158</v>
      </c>
      <c r="F31" t="s">
        <v>148</v>
      </c>
      <c r="G31" t="s">
        <v>18</v>
      </c>
      <c r="H31" t="s">
        <v>112</v>
      </c>
      <c r="I31" t="s">
        <v>27</v>
      </c>
      <c r="J31" t="s">
        <v>21</v>
      </c>
      <c r="K31" s="2">
        <v>50</v>
      </c>
      <c r="L31" s="2" t="str">
        <f>"27.06.20"</f>
        <v>27.06.20</v>
      </c>
    </row>
    <row r="32" spans="1:12" x14ac:dyDescent="0.25">
      <c r="A32">
        <v>29</v>
      </c>
      <c r="B32">
        <v>19779</v>
      </c>
      <c r="C32" t="s">
        <v>159</v>
      </c>
      <c r="D32" t="s">
        <v>99</v>
      </c>
      <c r="E32" t="s">
        <v>160</v>
      </c>
      <c r="F32" t="s">
        <v>101</v>
      </c>
      <c r="G32" t="s">
        <v>18</v>
      </c>
      <c r="H32" t="s">
        <v>161</v>
      </c>
      <c r="I32" t="s">
        <v>162</v>
      </c>
      <c r="J32" t="s">
        <v>21</v>
      </c>
      <c r="K32" s="2">
        <v>61</v>
      </c>
      <c r="L32" s="2" t="str">
        <f>"27.11.01"</f>
        <v>27.11.01</v>
      </c>
    </row>
    <row r="33" spans="1:12" x14ac:dyDescent="0.25">
      <c r="A33">
        <v>30</v>
      </c>
      <c r="B33">
        <v>19782</v>
      </c>
      <c r="C33" t="s">
        <v>163</v>
      </c>
      <c r="D33" t="s">
        <v>164</v>
      </c>
      <c r="E33" t="s">
        <v>165</v>
      </c>
      <c r="F33" t="s">
        <v>166</v>
      </c>
      <c r="G33" t="s">
        <v>18</v>
      </c>
      <c r="H33" t="s">
        <v>167</v>
      </c>
      <c r="I33" t="s">
        <v>168</v>
      </c>
      <c r="J33" t="s">
        <v>21</v>
      </c>
      <c r="K33" s="2">
        <v>50</v>
      </c>
      <c r="L33" s="2" t="str">
        <f>"27.11.07"</f>
        <v>27.11.07</v>
      </c>
    </row>
    <row r="34" spans="1:12" x14ac:dyDescent="0.25">
      <c r="A34">
        <v>31</v>
      </c>
      <c r="B34">
        <v>19784</v>
      </c>
      <c r="C34" t="s">
        <v>169</v>
      </c>
      <c r="D34" t="s">
        <v>170</v>
      </c>
      <c r="E34" t="s">
        <v>171</v>
      </c>
      <c r="F34" t="s">
        <v>172</v>
      </c>
      <c r="G34" t="s">
        <v>56</v>
      </c>
      <c r="H34" t="s">
        <v>173</v>
      </c>
      <c r="I34" t="s">
        <v>174</v>
      </c>
      <c r="J34" t="s">
        <v>21</v>
      </c>
      <c r="K34" s="2">
        <v>50</v>
      </c>
      <c r="L34" s="2" t="str">
        <f>"27.11.07"</f>
        <v>27.11.07</v>
      </c>
    </row>
    <row r="35" spans="1:12" x14ac:dyDescent="0.25">
      <c r="A35">
        <v>32</v>
      </c>
      <c r="B35">
        <v>19787</v>
      </c>
      <c r="C35" t="s">
        <v>175</v>
      </c>
      <c r="D35" t="s">
        <v>94</v>
      </c>
      <c r="E35" t="s">
        <v>176</v>
      </c>
      <c r="F35" t="s">
        <v>96</v>
      </c>
      <c r="G35" t="s">
        <v>18</v>
      </c>
      <c r="H35" t="s">
        <v>177</v>
      </c>
      <c r="I35" t="s">
        <v>178</v>
      </c>
      <c r="J35" t="s">
        <v>21</v>
      </c>
      <c r="K35" s="2">
        <v>55</v>
      </c>
      <c r="L35" s="2" t="str">
        <f>"27.08.17"</f>
        <v>27.08.17</v>
      </c>
    </row>
    <row r="36" spans="1:12" x14ac:dyDescent="0.25">
      <c r="A36">
        <v>33</v>
      </c>
      <c r="B36">
        <v>19788</v>
      </c>
      <c r="C36" t="s">
        <v>179</v>
      </c>
      <c r="D36" t="s">
        <v>180</v>
      </c>
      <c r="E36" t="s">
        <v>181</v>
      </c>
      <c r="F36" t="s">
        <v>182</v>
      </c>
      <c r="G36" t="s">
        <v>18</v>
      </c>
      <c r="H36" t="s">
        <v>112</v>
      </c>
      <c r="I36" t="s">
        <v>51</v>
      </c>
      <c r="J36" t="s">
        <v>21</v>
      </c>
      <c r="K36" s="2">
        <v>46</v>
      </c>
      <c r="L36" s="2" t="str">
        <f>"27.02.16"</f>
        <v>27.02.16</v>
      </c>
    </row>
    <row r="37" spans="1:12" x14ac:dyDescent="0.25">
      <c r="A37">
        <v>34</v>
      </c>
      <c r="B37">
        <v>19795</v>
      </c>
      <c r="C37" t="s">
        <v>183</v>
      </c>
      <c r="D37" t="s">
        <v>184</v>
      </c>
      <c r="E37" t="s">
        <v>185</v>
      </c>
      <c r="F37" t="s">
        <v>186</v>
      </c>
      <c r="G37" t="s">
        <v>18</v>
      </c>
      <c r="H37" t="s">
        <v>97</v>
      </c>
      <c r="I37" t="s">
        <v>39</v>
      </c>
      <c r="J37" t="s">
        <v>21</v>
      </c>
      <c r="K37" s="2">
        <v>50</v>
      </c>
      <c r="L37" s="2" t="str">
        <f>"27.11.11"</f>
        <v>27.11.11</v>
      </c>
    </row>
    <row r="38" spans="1:12" x14ac:dyDescent="0.25">
      <c r="A38">
        <v>35</v>
      </c>
      <c r="B38">
        <v>19796</v>
      </c>
      <c r="C38" t="s">
        <v>187</v>
      </c>
      <c r="D38" t="s">
        <v>188</v>
      </c>
      <c r="E38" t="s">
        <v>189</v>
      </c>
      <c r="F38" t="s">
        <v>190</v>
      </c>
      <c r="G38" t="s">
        <v>18</v>
      </c>
      <c r="H38" t="s">
        <v>137</v>
      </c>
      <c r="I38" t="s">
        <v>138</v>
      </c>
      <c r="J38" t="s">
        <v>21</v>
      </c>
      <c r="K38" s="2">
        <v>49</v>
      </c>
      <c r="L38" s="2" t="str">
        <f>"27.11.07"</f>
        <v>27.11.07</v>
      </c>
    </row>
    <row r="39" spans="1:12" x14ac:dyDescent="0.25">
      <c r="A39">
        <v>36</v>
      </c>
      <c r="B39">
        <v>19798</v>
      </c>
      <c r="C39" t="s">
        <v>191</v>
      </c>
      <c r="D39" t="s">
        <v>164</v>
      </c>
      <c r="E39" t="s">
        <v>192</v>
      </c>
      <c r="F39" t="s">
        <v>166</v>
      </c>
      <c r="G39" t="s">
        <v>18</v>
      </c>
      <c r="H39" t="s">
        <v>167</v>
      </c>
      <c r="I39" t="s">
        <v>168</v>
      </c>
      <c r="J39" t="s">
        <v>21</v>
      </c>
      <c r="K39" s="2">
        <v>49</v>
      </c>
      <c r="L39" s="2" t="str">
        <f>"27.11.07"</f>
        <v>27.11.07</v>
      </c>
    </row>
    <row r="40" spans="1:12" x14ac:dyDescent="0.25">
      <c r="A40">
        <v>37</v>
      </c>
      <c r="B40">
        <v>19801</v>
      </c>
      <c r="C40" t="s">
        <v>133</v>
      </c>
      <c r="D40" t="s">
        <v>193</v>
      </c>
      <c r="E40" t="s">
        <v>135</v>
      </c>
      <c r="F40" t="s">
        <v>194</v>
      </c>
      <c r="G40" t="s">
        <v>18</v>
      </c>
      <c r="H40" t="s">
        <v>195</v>
      </c>
      <c r="I40" t="s">
        <v>27</v>
      </c>
      <c r="J40" t="s">
        <v>21</v>
      </c>
      <c r="K40" s="2">
        <v>62</v>
      </c>
      <c r="L40" s="2" t="str">
        <f>"27.07.19"</f>
        <v>27.07.19</v>
      </c>
    </row>
    <row r="41" spans="1:12" x14ac:dyDescent="0.25">
      <c r="A41">
        <v>38</v>
      </c>
      <c r="B41">
        <v>19804</v>
      </c>
      <c r="C41" t="s">
        <v>196</v>
      </c>
      <c r="D41" t="s">
        <v>94</v>
      </c>
      <c r="E41" t="s">
        <v>197</v>
      </c>
      <c r="F41" t="s">
        <v>96</v>
      </c>
      <c r="G41" t="s">
        <v>18</v>
      </c>
      <c r="H41" t="s">
        <v>137</v>
      </c>
      <c r="I41" t="s">
        <v>138</v>
      </c>
      <c r="J41" t="s">
        <v>21</v>
      </c>
      <c r="K41" s="2">
        <v>49</v>
      </c>
      <c r="L41" s="2" t="str">
        <f>"27.11.08"</f>
        <v>27.11.08</v>
      </c>
    </row>
    <row r="42" spans="1:12" x14ac:dyDescent="0.25">
      <c r="A42">
        <v>39</v>
      </c>
      <c r="B42">
        <v>19806</v>
      </c>
      <c r="C42" t="s">
        <v>198</v>
      </c>
      <c r="D42" t="s">
        <v>199</v>
      </c>
      <c r="E42" t="s">
        <v>200</v>
      </c>
      <c r="F42" t="s">
        <v>201</v>
      </c>
      <c r="G42" t="s">
        <v>18</v>
      </c>
      <c r="H42" t="s">
        <v>50</v>
      </c>
      <c r="I42" t="s">
        <v>27</v>
      </c>
      <c r="J42" t="s">
        <v>21</v>
      </c>
      <c r="K42" s="2">
        <v>51</v>
      </c>
      <c r="L42" s="2" t="str">
        <f>"27.11.13"</f>
        <v>27.11.13</v>
      </c>
    </row>
    <row r="43" spans="1:12" x14ac:dyDescent="0.25">
      <c r="A43">
        <v>40</v>
      </c>
      <c r="B43">
        <v>19807</v>
      </c>
      <c r="C43" t="s">
        <v>202</v>
      </c>
      <c r="D43" t="s">
        <v>203</v>
      </c>
      <c r="E43" t="s">
        <v>204</v>
      </c>
      <c r="F43" t="s">
        <v>205</v>
      </c>
      <c r="G43" t="s">
        <v>18</v>
      </c>
      <c r="H43" t="s">
        <v>106</v>
      </c>
      <c r="I43" t="s">
        <v>107</v>
      </c>
      <c r="J43" t="s">
        <v>21</v>
      </c>
      <c r="K43" s="2">
        <v>55</v>
      </c>
      <c r="L43" s="2" t="str">
        <f>"27.11.07"</f>
        <v>27.11.07</v>
      </c>
    </row>
    <row r="44" spans="1:12" x14ac:dyDescent="0.25">
      <c r="A44">
        <v>41</v>
      </c>
      <c r="B44">
        <v>19811</v>
      </c>
      <c r="C44" t="s">
        <v>206</v>
      </c>
      <c r="D44" t="s">
        <v>207</v>
      </c>
      <c r="E44" t="s">
        <v>208</v>
      </c>
      <c r="F44" t="s">
        <v>209</v>
      </c>
      <c r="G44" t="s">
        <v>18</v>
      </c>
      <c r="H44" t="s">
        <v>210</v>
      </c>
      <c r="I44" t="s">
        <v>211</v>
      </c>
      <c r="J44" t="s">
        <v>21</v>
      </c>
      <c r="K44" s="2">
        <v>54</v>
      </c>
      <c r="L44" s="2" t="str">
        <f>"27.11.15"</f>
        <v>27.11.15</v>
      </c>
    </row>
    <row r="45" spans="1:12" x14ac:dyDescent="0.25">
      <c r="A45">
        <v>42</v>
      </c>
      <c r="B45">
        <v>19813</v>
      </c>
      <c r="C45" t="s">
        <v>212</v>
      </c>
      <c r="D45" t="s">
        <v>99</v>
      </c>
      <c r="E45" t="s">
        <v>213</v>
      </c>
      <c r="F45" t="s">
        <v>101</v>
      </c>
      <c r="G45" t="s">
        <v>18</v>
      </c>
      <c r="H45" t="s">
        <v>214</v>
      </c>
      <c r="I45" t="s">
        <v>215</v>
      </c>
      <c r="J45" t="s">
        <v>21</v>
      </c>
      <c r="K45" s="2">
        <v>60</v>
      </c>
      <c r="L45" s="2" t="str">
        <f>"27.11.07"</f>
        <v>27.11.07</v>
      </c>
    </row>
    <row r="46" spans="1:12" x14ac:dyDescent="0.25">
      <c r="A46">
        <v>43</v>
      </c>
      <c r="B46">
        <v>19818</v>
      </c>
      <c r="C46" t="s">
        <v>216</v>
      </c>
      <c r="D46" t="s">
        <v>217</v>
      </c>
      <c r="E46" t="s">
        <v>218</v>
      </c>
      <c r="F46" t="s">
        <v>219</v>
      </c>
      <c r="G46" t="s">
        <v>18</v>
      </c>
      <c r="H46" t="s">
        <v>220</v>
      </c>
      <c r="I46" t="s">
        <v>221</v>
      </c>
      <c r="J46" t="s">
        <v>63</v>
      </c>
      <c r="K46" s="2">
        <v>49</v>
      </c>
      <c r="L46" s="2" t="str">
        <f>"27.11.09"</f>
        <v>27.11.09</v>
      </c>
    </row>
    <row r="47" spans="1:12" x14ac:dyDescent="0.25">
      <c r="A47">
        <v>44</v>
      </c>
      <c r="B47">
        <v>19820</v>
      </c>
      <c r="C47" t="s">
        <v>222</v>
      </c>
      <c r="D47" t="s">
        <v>223</v>
      </c>
      <c r="E47" t="s">
        <v>224</v>
      </c>
      <c r="F47" t="s">
        <v>225</v>
      </c>
      <c r="G47" t="s">
        <v>18</v>
      </c>
      <c r="H47" t="s">
        <v>226</v>
      </c>
      <c r="I47" t="s">
        <v>227</v>
      </c>
      <c r="J47" t="s">
        <v>86</v>
      </c>
      <c r="K47" s="2">
        <v>49</v>
      </c>
      <c r="L47" s="2" t="str">
        <f>"27.11.07"</f>
        <v>27.11.07</v>
      </c>
    </row>
    <row r="48" spans="1:12" x14ac:dyDescent="0.25">
      <c r="A48">
        <v>45</v>
      </c>
      <c r="B48">
        <v>19822</v>
      </c>
      <c r="C48" t="s">
        <v>228</v>
      </c>
      <c r="D48" t="s">
        <v>154</v>
      </c>
      <c r="E48" t="s">
        <v>229</v>
      </c>
      <c r="F48" t="s">
        <v>156</v>
      </c>
      <c r="G48" t="s">
        <v>18</v>
      </c>
      <c r="H48" t="s">
        <v>226</v>
      </c>
      <c r="I48" t="s">
        <v>227</v>
      </c>
      <c r="J48" t="s">
        <v>86</v>
      </c>
      <c r="K48" s="2">
        <v>47</v>
      </c>
      <c r="L48" s="2" t="str">
        <f>"27.11.08"</f>
        <v>27.11.08</v>
      </c>
    </row>
    <row r="49" spans="1:12" x14ac:dyDescent="0.25">
      <c r="A49">
        <v>46</v>
      </c>
      <c r="B49">
        <v>19823</v>
      </c>
      <c r="C49" t="s">
        <v>230</v>
      </c>
      <c r="D49" t="s">
        <v>94</v>
      </c>
      <c r="E49" t="s">
        <v>231</v>
      </c>
      <c r="F49" t="s">
        <v>96</v>
      </c>
      <c r="G49" t="s">
        <v>18</v>
      </c>
      <c r="H49" t="s">
        <v>232</v>
      </c>
      <c r="I49" t="s">
        <v>233</v>
      </c>
      <c r="J49" t="s">
        <v>21</v>
      </c>
      <c r="K49" s="2">
        <v>51</v>
      </c>
      <c r="L49" s="2" t="str">
        <f>"27.11.07"</f>
        <v>27.11.07</v>
      </c>
    </row>
    <row r="50" spans="1:12" x14ac:dyDescent="0.25">
      <c r="A50">
        <v>47</v>
      </c>
      <c r="B50">
        <v>19827</v>
      </c>
      <c r="C50" t="s">
        <v>234</v>
      </c>
      <c r="D50" t="s">
        <v>94</v>
      </c>
      <c r="E50" t="s">
        <v>235</v>
      </c>
      <c r="F50" t="s">
        <v>96</v>
      </c>
      <c r="G50" t="s">
        <v>18</v>
      </c>
      <c r="H50" t="s">
        <v>236</v>
      </c>
      <c r="I50" t="s">
        <v>237</v>
      </c>
      <c r="J50" t="s">
        <v>63</v>
      </c>
      <c r="K50" s="2">
        <v>48</v>
      </c>
      <c r="L50" s="2" t="str">
        <f>"27.05.07"</f>
        <v>27.05.07</v>
      </c>
    </row>
    <row r="51" spans="1:12" x14ac:dyDescent="0.25">
      <c r="A51">
        <v>48</v>
      </c>
      <c r="B51">
        <v>19833</v>
      </c>
      <c r="C51" t="s">
        <v>238</v>
      </c>
      <c r="D51" t="s">
        <v>188</v>
      </c>
      <c r="E51" t="s">
        <v>239</v>
      </c>
      <c r="F51" t="s">
        <v>190</v>
      </c>
      <c r="G51" t="s">
        <v>18</v>
      </c>
      <c r="H51" t="s">
        <v>240</v>
      </c>
      <c r="I51" t="s">
        <v>241</v>
      </c>
      <c r="J51" t="s">
        <v>86</v>
      </c>
      <c r="K51" s="2">
        <v>47</v>
      </c>
      <c r="L51" s="2" t="str">
        <f>"24.05.12"</f>
        <v>24.05.12</v>
      </c>
    </row>
    <row r="52" spans="1:12" x14ac:dyDescent="0.25">
      <c r="A52">
        <v>49</v>
      </c>
      <c r="B52">
        <v>19834</v>
      </c>
      <c r="C52" t="s">
        <v>119</v>
      </c>
      <c r="D52" t="s">
        <v>94</v>
      </c>
      <c r="E52" t="s">
        <v>121</v>
      </c>
      <c r="F52" t="s">
        <v>96</v>
      </c>
      <c r="G52" t="s">
        <v>18</v>
      </c>
      <c r="H52" t="s">
        <v>242</v>
      </c>
      <c r="I52" t="s">
        <v>243</v>
      </c>
      <c r="J52" t="s">
        <v>63</v>
      </c>
      <c r="K52" s="2">
        <v>51</v>
      </c>
      <c r="L52" s="2" t="str">
        <f>"27.05.06"</f>
        <v>27.05.06</v>
      </c>
    </row>
    <row r="53" spans="1:12" x14ac:dyDescent="0.25">
      <c r="A53">
        <v>50</v>
      </c>
      <c r="B53">
        <v>19838</v>
      </c>
      <c r="C53" t="s">
        <v>244</v>
      </c>
      <c r="D53" t="s">
        <v>245</v>
      </c>
      <c r="E53" t="s">
        <v>246</v>
      </c>
      <c r="F53" t="s">
        <v>247</v>
      </c>
      <c r="G53" t="s">
        <v>18</v>
      </c>
      <c r="H53" t="s">
        <v>26</v>
      </c>
      <c r="I53" t="s">
        <v>27</v>
      </c>
      <c r="J53" t="s">
        <v>21</v>
      </c>
      <c r="K53" s="2">
        <v>48</v>
      </c>
      <c r="L53" s="2" t="str">
        <f>"27.08.18"</f>
        <v>27.08.18</v>
      </c>
    </row>
    <row r="54" spans="1:12" x14ac:dyDescent="0.25">
      <c r="A54">
        <v>51</v>
      </c>
      <c r="B54">
        <v>19840</v>
      </c>
      <c r="C54" t="s">
        <v>133</v>
      </c>
      <c r="D54" t="s">
        <v>94</v>
      </c>
      <c r="E54" t="s">
        <v>135</v>
      </c>
      <c r="F54" t="s">
        <v>96</v>
      </c>
      <c r="G54" t="s">
        <v>18</v>
      </c>
      <c r="H54" t="s">
        <v>248</v>
      </c>
      <c r="I54" t="s">
        <v>249</v>
      </c>
      <c r="J54" t="s">
        <v>21</v>
      </c>
      <c r="K54" s="2">
        <v>52</v>
      </c>
      <c r="L54" s="2" t="str">
        <f>"27.08.19"</f>
        <v>27.08.19</v>
      </c>
    </row>
    <row r="55" spans="1:12" x14ac:dyDescent="0.25">
      <c r="A55">
        <v>52</v>
      </c>
      <c r="B55">
        <v>19841</v>
      </c>
      <c r="C55" t="s">
        <v>250</v>
      </c>
      <c r="D55" t="s">
        <v>188</v>
      </c>
      <c r="E55" t="s">
        <v>251</v>
      </c>
      <c r="F55" t="s">
        <v>190</v>
      </c>
      <c r="G55" t="s">
        <v>18</v>
      </c>
      <c r="H55" t="s">
        <v>127</v>
      </c>
      <c r="I55" t="s">
        <v>128</v>
      </c>
      <c r="J55" t="s">
        <v>21</v>
      </c>
      <c r="K55" s="2">
        <v>50</v>
      </c>
      <c r="L55" s="2" t="str">
        <f>"27.05.07"</f>
        <v>27.05.07</v>
      </c>
    </row>
    <row r="56" spans="1:12" x14ac:dyDescent="0.25">
      <c r="A56">
        <v>53</v>
      </c>
      <c r="B56">
        <v>19842</v>
      </c>
      <c r="C56" t="s">
        <v>252</v>
      </c>
      <c r="D56" t="s">
        <v>253</v>
      </c>
      <c r="E56" t="s">
        <v>254</v>
      </c>
      <c r="F56" t="s">
        <v>255</v>
      </c>
      <c r="G56" t="s">
        <v>18</v>
      </c>
      <c r="H56" t="s">
        <v>226</v>
      </c>
      <c r="I56" t="s">
        <v>227</v>
      </c>
      <c r="J56" t="s">
        <v>86</v>
      </c>
      <c r="K56" s="2">
        <v>54</v>
      </c>
      <c r="L56" s="2" t="str">
        <f>"27.05.08"</f>
        <v>27.05.08</v>
      </c>
    </row>
    <row r="57" spans="1:12" x14ac:dyDescent="0.25">
      <c r="A57">
        <v>54</v>
      </c>
      <c r="B57">
        <v>19844</v>
      </c>
      <c r="C57" t="s">
        <v>46</v>
      </c>
      <c r="D57" t="s">
        <v>256</v>
      </c>
      <c r="E57" t="s">
        <v>48</v>
      </c>
      <c r="F57" t="s">
        <v>257</v>
      </c>
      <c r="G57" t="s">
        <v>18</v>
      </c>
      <c r="H57" t="s">
        <v>258</v>
      </c>
      <c r="I57" t="s">
        <v>259</v>
      </c>
      <c r="J57" t="s">
        <v>21</v>
      </c>
      <c r="K57" s="2">
        <v>55</v>
      </c>
      <c r="L57" s="2" t="str">
        <f>"27.05.07"</f>
        <v>27.05.07</v>
      </c>
    </row>
    <row r="58" spans="1:12" x14ac:dyDescent="0.25">
      <c r="A58">
        <v>55</v>
      </c>
      <c r="B58">
        <v>19845</v>
      </c>
      <c r="C58" t="s">
        <v>260</v>
      </c>
      <c r="D58" t="s">
        <v>261</v>
      </c>
      <c r="E58" t="s">
        <v>262</v>
      </c>
      <c r="F58" t="s">
        <v>263</v>
      </c>
      <c r="G58" t="s">
        <v>18</v>
      </c>
      <c r="H58" t="s">
        <v>264</v>
      </c>
      <c r="I58" t="s">
        <v>265</v>
      </c>
      <c r="J58" t="s">
        <v>21</v>
      </c>
      <c r="K58" s="2">
        <v>49</v>
      </c>
      <c r="L58" s="2" t="str">
        <f>"27.05.08"</f>
        <v>27.05.08</v>
      </c>
    </row>
    <row r="59" spans="1:12" x14ac:dyDescent="0.25">
      <c r="A59">
        <v>56</v>
      </c>
      <c r="B59">
        <v>19848</v>
      </c>
      <c r="C59" t="s">
        <v>198</v>
      </c>
      <c r="D59" t="s">
        <v>266</v>
      </c>
      <c r="E59" t="s">
        <v>200</v>
      </c>
      <c r="F59" t="s">
        <v>267</v>
      </c>
      <c r="G59" t="s">
        <v>18</v>
      </c>
      <c r="H59" t="s">
        <v>214</v>
      </c>
      <c r="I59" t="s">
        <v>215</v>
      </c>
      <c r="J59" t="s">
        <v>21</v>
      </c>
      <c r="K59" s="2">
        <v>59</v>
      </c>
      <c r="L59" s="2" t="str">
        <f>"27.08.25"</f>
        <v>27.08.25</v>
      </c>
    </row>
    <row r="60" spans="1:12" x14ac:dyDescent="0.25">
      <c r="A60">
        <v>57</v>
      </c>
      <c r="B60">
        <v>19849</v>
      </c>
      <c r="C60" t="s">
        <v>268</v>
      </c>
      <c r="D60" t="s">
        <v>269</v>
      </c>
      <c r="E60" t="s">
        <v>270</v>
      </c>
      <c r="F60" t="s">
        <v>271</v>
      </c>
      <c r="G60" t="s">
        <v>18</v>
      </c>
      <c r="H60" t="s">
        <v>236</v>
      </c>
      <c r="I60" t="s">
        <v>237</v>
      </c>
      <c r="J60" t="s">
        <v>63</v>
      </c>
      <c r="K60" s="2">
        <v>48</v>
      </c>
      <c r="L60" s="2" t="str">
        <f>"27.05.07"</f>
        <v>27.05.07</v>
      </c>
    </row>
    <row r="61" spans="1:12" x14ac:dyDescent="0.25">
      <c r="A61">
        <v>58</v>
      </c>
      <c r="B61">
        <v>19868</v>
      </c>
      <c r="C61" t="s">
        <v>272</v>
      </c>
      <c r="D61" t="s">
        <v>217</v>
      </c>
      <c r="E61" t="s">
        <v>273</v>
      </c>
      <c r="F61" t="s">
        <v>219</v>
      </c>
      <c r="G61" t="s">
        <v>18</v>
      </c>
      <c r="H61" t="s">
        <v>274</v>
      </c>
      <c r="I61" t="s">
        <v>275</v>
      </c>
      <c r="J61" t="s">
        <v>86</v>
      </c>
      <c r="K61" s="2">
        <v>56</v>
      </c>
      <c r="L61" s="2" t="str">
        <f>"25.11.19"</f>
        <v>25.11.19</v>
      </c>
    </row>
    <row r="62" spans="1:12" x14ac:dyDescent="0.25">
      <c r="A62">
        <v>59</v>
      </c>
      <c r="B62">
        <v>19877</v>
      </c>
      <c r="C62" t="s">
        <v>276</v>
      </c>
      <c r="D62" t="s">
        <v>94</v>
      </c>
      <c r="E62" t="s">
        <v>277</v>
      </c>
      <c r="F62" t="s">
        <v>96</v>
      </c>
      <c r="G62" t="s">
        <v>18</v>
      </c>
      <c r="H62" t="s">
        <v>278</v>
      </c>
      <c r="I62" t="s">
        <v>279</v>
      </c>
      <c r="J62" t="s">
        <v>86</v>
      </c>
      <c r="K62" s="2">
        <v>55</v>
      </c>
      <c r="L62" s="2" t="str">
        <f>"27.01.09"</f>
        <v>27.01.09</v>
      </c>
    </row>
    <row r="63" spans="1:12" x14ac:dyDescent="0.25">
      <c r="A63">
        <v>60</v>
      </c>
      <c r="B63">
        <v>19892</v>
      </c>
      <c r="C63" t="s">
        <v>280</v>
      </c>
      <c r="D63" t="s">
        <v>281</v>
      </c>
      <c r="E63" t="s">
        <v>282</v>
      </c>
      <c r="F63" t="s">
        <v>283</v>
      </c>
      <c r="G63" t="s">
        <v>18</v>
      </c>
      <c r="H63" t="s">
        <v>284</v>
      </c>
      <c r="I63" t="s">
        <v>285</v>
      </c>
      <c r="J63" t="s">
        <v>21</v>
      </c>
      <c r="K63" s="2">
        <v>55</v>
      </c>
      <c r="L63" s="2" t="str">
        <f>"36.07.22"</f>
        <v>36.07.22</v>
      </c>
    </row>
    <row r="64" spans="1:12" x14ac:dyDescent="0.25">
      <c r="A64">
        <v>61</v>
      </c>
      <c r="B64">
        <v>19899</v>
      </c>
      <c r="C64" t="s">
        <v>286</v>
      </c>
      <c r="D64" t="s">
        <v>188</v>
      </c>
      <c r="E64" t="s">
        <v>287</v>
      </c>
      <c r="F64" t="s">
        <v>190</v>
      </c>
      <c r="G64" t="s">
        <v>18</v>
      </c>
      <c r="H64" t="s">
        <v>288</v>
      </c>
      <c r="I64" t="s">
        <v>289</v>
      </c>
      <c r="J64" t="s">
        <v>86</v>
      </c>
      <c r="K64" s="2">
        <v>54</v>
      </c>
      <c r="L64" s="2" t="str">
        <f>"27.04.11"</f>
        <v>27.04.11</v>
      </c>
    </row>
    <row r="65" spans="1:12" x14ac:dyDescent="0.25">
      <c r="A65">
        <v>62</v>
      </c>
      <c r="B65">
        <v>19911</v>
      </c>
      <c r="C65" t="s">
        <v>228</v>
      </c>
      <c r="D65" t="s">
        <v>146</v>
      </c>
      <c r="E65" t="s">
        <v>229</v>
      </c>
      <c r="F65" t="s">
        <v>148</v>
      </c>
      <c r="G65" t="s">
        <v>18</v>
      </c>
      <c r="H65" t="s">
        <v>290</v>
      </c>
      <c r="I65" t="s">
        <v>291</v>
      </c>
      <c r="J65" t="s">
        <v>86</v>
      </c>
      <c r="K65" s="2">
        <v>48</v>
      </c>
      <c r="L65" s="2" t="str">
        <f>"26.10.10"</f>
        <v>26.10.10</v>
      </c>
    </row>
    <row r="66" spans="1:12" x14ac:dyDescent="0.25">
      <c r="A66">
        <v>63</v>
      </c>
      <c r="B66">
        <v>19916</v>
      </c>
      <c r="C66" t="s">
        <v>292</v>
      </c>
      <c r="D66" t="s">
        <v>293</v>
      </c>
      <c r="E66" t="s">
        <v>294</v>
      </c>
      <c r="F66" t="s">
        <v>295</v>
      </c>
      <c r="G66" t="s">
        <v>18</v>
      </c>
      <c r="H66" t="s">
        <v>284</v>
      </c>
      <c r="I66" t="s">
        <v>285</v>
      </c>
      <c r="J66" t="s">
        <v>21</v>
      </c>
      <c r="K66" s="2">
        <v>62</v>
      </c>
      <c r="L66" s="2" t="str">
        <f>"26.09.04"</f>
        <v>26.09.04</v>
      </c>
    </row>
    <row r="67" spans="1:12" x14ac:dyDescent="0.25">
      <c r="A67">
        <v>64</v>
      </c>
      <c r="B67">
        <v>19917</v>
      </c>
      <c r="C67" t="s">
        <v>296</v>
      </c>
      <c r="D67" t="s">
        <v>170</v>
      </c>
      <c r="E67" t="s">
        <v>297</v>
      </c>
      <c r="F67" t="s">
        <v>172</v>
      </c>
      <c r="G67" t="s">
        <v>56</v>
      </c>
      <c r="H67" t="s">
        <v>298</v>
      </c>
      <c r="I67" t="s">
        <v>299</v>
      </c>
      <c r="J67" t="s">
        <v>63</v>
      </c>
      <c r="K67" s="2">
        <v>52</v>
      </c>
      <c r="L67" s="2" t="str">
        <f>"26.08.25"</f>
        <v>26.08.25</v>
      </c>
    </row>
    <row r="68" spans="1:12" x14ac:dyDescent="0.25">
      <c r="A68">
        <v>65</v>
      </c>
      <c r="B68">
        <v>19933</v>
      </c>
      <c r="C68" t="s">
        <v>300</v>
      </c>
      <c r="D68" t="s">
        <v>301</v>
      </c>
      <c r="E68" t="s">
        <v>302</v>
      </c>
      <c r="F68" t="s">
        <v>303</v>
      </c>
      <c r="G68" t="s">
        <v>56</v>
      </c>
      <c r="H68" t="s">
        <v>304</v>
      </c>
      <c r="I68" t="s">
        <v>305</v>
      </c>
      <c r="J68" t="s">
        <v>86</v>
      </c>
      <c r="K68" s="2">
        <v>57</v>
      </c>
      <c r="L68" s="2" t="str">
        <f>"26.07.24"</f>
        <v>26.07.24</v>
      </c>
    </row>
    <row r="69" spans="1:12" x14ac:dyDescent="0.25">
      <c r="A69">
        <v>66</v>
      </c>
      <c r="B69">
        <v>19960</v>
      </c>
      <c r="C69" t="s">
        <v>306</v>
      </c>
      <c r="D69" t="s">
        <v>307</v>
      </c>
      <c r="E69" t="s">
        <v>308</v>
      </c>
      <c r="F69" t="s">
        <v>309</v>
      </c>
      <c r="G69" t="s">
        <v>18</v>
      </c>
      <c r="H69" t="s">
        <v>310</v>
      </c>
      <c r="I69" t="s">
        <v>311</v>
      </c>
      <c r="J69" t="s">
        <v>21</v>
      </c>
      <c r="K69" s="2">
        <v>56</v>
      </c>
      <c r="L69" s="2" t="str">
        <f>"26.07.03"</f>
        <v>26.07.03</v>
      </c>
    </row>
    <row r="70" spans="1:12" x14ac:dyDescent="0.25">
      <c r="A70">
        <v>67</v>
      </c>
      <c r="B70">
        <v>19963</v>
      </c>
      <c r="C70" t="s">
        <v>312</v>
      </c>
      <c r="D70" t="s">
        <v>71</v>
      </c>
      <c r="E70" t="s">
        <v>313</v>
      </c>
      <c r="F70" t="s">
        <v>73</v>
      </c>
      <c r="G70" t="s">
        <v>18</v>
      </c>
      <c r="H70" t="s">
        <v>314</v>
      </c>
      <c r="I70" t="s">
        <v>315</v>
      </c>
      <c r="J70" t="s">
        <v>21</v>
      </c>
      <c r="K70" s="2">
        <v>55</v>
      </c>
      <c r="L70" s="2" t="str">
        <f>"26.06.29"</f>
        <v>26.06.29</v>
      </c>
    </row>
    <row r="71" spans="1:12" x14ac:dyDescent="0.25">
      <c r="A71">
        <v>68</v>
      </c>
      <c r="B71">
        <v>19992</v>
      </c>
      <c r="C71" t="s">
        <v>316</v>
      </c>
      <c r="D71" t="s">
        <v>317</v>
      </c>
      <c r="E71" t="s">
        <v>318</v>
      </c>
      <c r="F71" t="s">
        <v>319</v>
      </c>
      <c r="G71" t="s">
        <v>18</v>
      </c>
      <c r="H71" t="s">
        <v>320</v>
      </c>
      <c r="I71" t="s">
        <v>321</v>
      </c>
      <c r="J71" t="s">
        <v>86</v>
      </c>
      <c r="K71" s="2">
        <v>54</v>
      </c>
      <c r="L71" s="2" t="str">
        <f>"27.00.11"</f>
        <v>27.00.11</v>
      </c>
    </row>
    <row r="72" spans="1:12" x14ac:dyDescent="0.25">
      <c r="A72">
        <v>69</v>
      </c>
      <c r="B72">
        <v>19993</v>
      </c>
      <c r="C72" t="s">
        <v>198</v>
      </c>
      <c r="D72" t="s">
        <v>47</v>
      </c>
      <c r="E72" t="s">
        <v>200</v>
      </c>
      <c r="F72" t="s">
        <v>49</v>
      </c>
      <c r="G72" t="s">
        <v>18</v>
      </c>
      <c r="H72" t="s">
        <v>322</v>
      </c>
      <c r="I72" t="s">
        <v>323</v>
      </c>
      <c r="J72" t="s">
        <v>21</v>
      </c>
      <c r="K72" s="2">
        <v>59</v>
      </c>
      <c r="L72" s="2" t="str">
        <f>"27.00.12"</f>
        <v>27.00.12</v>
      </c>
    </row>
    <row r="73" spans="1:12" x14ac:dyDescent="0.25">
      <c r="A73">
        <v>70</v>
      </c>
      <c r="B73">
        <v>19997</v>
      </c>
      <c r="C73" t="s">
        <v>324</v>
      </c>
      <c r="D73" t="s">
        <v>325</v>
      </c>
      <c r="E73" t="s">
        <v>326</v>
      </c>
      <c r="F73" t="s">
        <v>327</v>
      </c>
      <c r="G73" t="s">
        <v>56</v>
      </c>
      <c r="H73" t="s">
        <v>328</v>
      </c>
      <c r="I73" t="s">
        <v>329</v>
      </c>
      <c r="J73" t="s">
        <v>86</v>
      </c>
      <c r="K73" s="2">
        <v>54</v>
      </c>
      <c r="L73" s="2" t="str">
        <f>"27.00.11"</f>
        <v>27.00.11</v>
      </c>
    </row>
    <row r="74" spans="1:12" x14ac:dyDescent="0.25">
      <c r="A74">
        <v>71</v>
      </c>
      <c r="B74">
        <v>20023</v>
      </c>
      <c r="C74" t="s">
        <v>330</v>
      </c>
      <c r="D74" t="s">
        <v>120</v>
      </c>
      <c r="E74" t="s">
        <v>331</v>
      </c>
      <c r="F74" t="s">
        <v>122</v>
      </c>
      <c r="G74" t="s">
        <v>18</v>
      </c>
      <c r="H74" t="s">
        <v>332</v>
      </c>
      <c r="I74" t="s">
        <v>333</v>
      </c>
      <c r="J74" t="s">
        <v>86</v>
      </c>
      <c r="K74" s="2">
        <v>51</v>
      </c>
      <c r="L74" s="2" t="str">
        <f>"26.01.24"</f>
        <v>26.01.24</v>
      </c>
    </row>
    <row r="75" spans="1:12" x14ac:dyDescent="0.25">
      <c r="A75">
        <v>72</v>
      </c>
      <c r="B75">
        <v>20024</v>
      </c>
      <c r="C75" t="s">
        <v>334</v>
      </c>
      <c r="D75" t="s">
        <v>335</v>
      </c>
      <c r="E75" t="s">
        <v>336</v>
      </c>
      <c r="F75" t="s">
        <v>337</v>
      </c>
      <c r="G75" t="s">
        <v>18</v>
      </c>
      <c r="H75" t="s">
        <v>50</v>
      </c>
      <c r="I75" t="s">
        <v>27</v>
      </c>
      <c r="J75" t="s">
        <v>21</v>
      </c>
      <c r="K75" s="2">
        <v>51</v>
      </c>
      <c r="L75" s="2" t="str">
        <f>"26.11.25"</f>
        <v>26.11.25</v>
      </c>
    </row>
    <row r="76" spans="1:12" x14ac:dyDescent="0.25">
      <c r="A76">
        <v>73</v>
      </c>
      <c r="B76">
        <v>20033</v>
      </c>
      <c r="C76" t="s">
        <v>338</v>
      </c>
      <c r="D76" t="s">
        <v>261</v>
      </c>
      <c r="E76" t="s">
        <v>339</v>
      </c>
      <c r="F76" t="s">
        <v>263</v>
      </c>
      <c r="G76" t="s">
        <v>18</v>
      </c>
      <c r="H76" t="s">
        <v>340</v>
      </c>
      <c r="I76" t="s">
        <v>341</v>
      </c>
      <c r="J76" t="s">
        <v>86</v>
      </c>
      <c r="K76" s="2">
        <v>58</v>
      </c>
      <c r="L76" s="2" t="str">
        <f>"26.11.27"</f>
        <v>26.11.27</v>
      </c>
    </row>
    <row r="77" spans="1:12" x14ac:dyDescent="0.25">
      <c r="A77">
        <v>74</v>
      </c>
      <c r="B77">
        <v>20034</v>
      </c>
      <c r="C77" t="s">
        <v>342</v>
      </c>
      <c r="D77" t="s">
        <v>343</v>
      </c>
      <c r="E77" t="s">
        <v>344</v>
      </c>
      <c r="F77" t="s">
        <v>345</v>
      </c>
      <c r="G77" t="s">
        <v>18</v>
      </c>
      <c r="H77" t="s">
        <v>346</v>
      </c>
      <c r="I77" t="s">
        <v>347</v>
      </c>
      <c r="J77" t="s">
        <v>21</v>
      </c>
      <c r="K77" s="2">
        <v>47</v>
      </c>
      <c r="L77" s="2" t="str">
        <f>"26.11.28"</f>
        <v>26.11.28</v>
      </c>
    </row>
    <row r="78" spans="1:12" x14ac:dyDescent="0.25">
      <c r="A78">
        <v>75</v>
      </c>
      <c r="B78">
        <v>20038</v>
      </c>
      <c r="C78" t="s">
        <v>348</v>
      </c>
      <c r="D78" t="s">
        <v>94</v>
      </c>
      <c r="E78" t="s">
        <v>349</v>
      </c>
      <c r="F78" t="s">
        <v>96</v>
      </c>
      <c r="G78" t="s">
        <v>18</v>
      </c>
      <c r="H78" t="s">
        <v>350</v>
      </c>
      <c r="I78" t="s">
        <v>351</v>
      </c>
      <c r="J78" t="s">
        <v>21</v>
      </c>
      <c r="K78" s="2">
        <v>50</v>
      </c>
      <c r="L78" s="2" t="str">
        <f>"27.00.00"</f>
        <v>27.00.00</v>
      </c>
    </row>
    <row r="79" spans="1:12" x14ac:dyDescent="0.25">
      <c r="A79">
        <v>76</v>
      </c>
      <c r="B79">
        <v>20041</v>
      </c>
      <c r="C79" t="s">
        <v>352</v>
      </c>
      <c r="D79" t="s">
        <v>353</v>
      </c>
      <c r="E79" t="s">
        <v>354</v>
      </c>
      <c r="F79" t="s">
        <v>355</v>
      </c>
      <c r="G79" t="s">
        <v>18</v>
      </c>
      <c r="H79" t="s">
        <v>356</v>
      </c>
      <c r="I79" t="s">
        <v>357</v>
      </c>
      <c r="J79" t="s">
        <v>86</v>
      </c>
      <c r="K79" s="2">
        <v>53</v>
      </c>
      <c r="L79" s="2" t="str">
        <f>"26.11.26"</f>
        <v>26.11.26</v>
      </c>
    </row>
    <row r="80" spans="1:12" x14ac:dyDescent="0.25">
      <c r="A80">
        <v>77</v>
      </c>
      <c r="B80">
        <v>20052</v>
      </c>
      <c r="C80" t="s">
        <v>358</v>
      </c>
      <c r="D80" t="s">
        <v>359</v>
      </c>
      <c r="E80" t="s">
        <v>360</v>
      </c>
      <c r="F80" t="s">
        <v>361</v>
      </c>
      <c r="G80" t="s">
        <v>18</v>
      </c>
      <c r="H80" t="s">
        <v>362</v>
      </c>
      <c r="I80" t="s">
        <v>363</v>
      </c>
      <c r="J80" t="s">
        <v>21</v>
      </c>
      <c r="K80" s="2">
        <v>47</v>
      </c>
      <c r="L80" s="2" t="str">
        <f>"26.05.16"</f>
        <v>26.05.16</v>
      </c>
    </row>
    <row r="81" spans="1:12" x14ac:dyDescent="0.25">
      <c r="A81">
        <v>78</v>
      </c>
      <c r="B81">
        <v>20072</v>
      </c>
      <c r="C81" t="s">
        <v>250</v>
      </c>
      <c r="D81" t="s">
        <v>364</v>
      </c>
      <c r="E81" t="s">
        <v>251</v>
      </c>
      <c r="F81" t="s">
        <v>365</v>
      </c>
      <c r="G81" t="s">
        <v>18</v>
      </c>
      <c r="H81" t="s">
        <v>366</v>
      </c>
      <c r="I81" t="s">
        <v>367</v>
      </c>
      <c r="J81" t="s">
        <v>21</v>
      </c>
      <c r="K81" s="2">
        <v>55</v>
      </c>
      <c r="L81" s="2" t="str">
        <f>"25.11.06"</f>
        <v>25.11.06</v>
      </c>
    </row>
    <row r="82" spans="1:12" x14ac:dyDescent="0.25">
      <c r="A82">
        <v>79</v>
      </c>
      <c r="B82">
        <v>20076</v>
      </c>
      <c r="C82" t="s">
        <v>368</v>
      </c>
      <c r="D82" t="s">
        <v>256</v>
      </c>
      <c r="E82" t="s">
        <v>369</v>
      </c>
      <c r="F82" t="s">
        <v>257</v>
      </c>
      <c r="G82" t="s">
        <v>18</v>
      </c>
      <c r="H82" t="s">
        <v>112</v>
      </c>
      <c r="I82" t="s">
        <v>27</v>
      </c>
      <c r="J82" t="s">
        <v>21</v>
      </c>
      <c r="K82" s="2">
        <v>49</v>
      </c>
      <c r="L82" s="2" t="str">
        <f>"25.11.05"</f>
        <v>25.11.05</v>
      </c>
    </row>
    <row r="83" spans="1:12" x14ac:dyDescent="0.25">
      <c r="A83">
        <v>80</v>
      </c>
      <c r="B83">
        <v>20095</v>
      </c>
      <c r="C83" t="s">
        <v>370</v>
      </c>
      <c r="D83" t="s">
        <v>371</v>
      </c>
      <c r="E83" t="s">
        <v>372</v>
      </c>
      <c r="F83" t="s">
        <v>373</v>
      </c>
      <c r="G83" t="s">
        <v>18</v>
      </c>
      <c r="H83" t="s">
        <v>374</v>
      </c>
      <c r="I83" t="s">
        <v>375</v>
      </c>
      <c r="J83" t="s">
        <v>21</v>
      </c>
      <c r="K83" s="2">
        <v>45</v>
      </c>
      <c r="L83" s="2" t="str">
        <f>"26.03.29"</f>
        <v>26.03.29</v>
      </c>
    </row>
    <row r="84" spans="1:12" x14ac:dyDescent="0.25">
      <c r="A84">
        <v>81</v>
      </c>
      <c r="B84">
        <v>20117</v>
      </c>
      <c r="C84" t="s">
        <v>376</v>
      </c>
      <c r="D84" t="s">
        <v>377</v>
      </c>
      <c r="E84" t="s">
        <v>378</v>
      </c>
      <c r="F84" t="s">
        <v>379</v>
      </c>
      <c r="G84" t="s">
        <v>18</v>
      </c>
      <c r="H84" t="s">
        <v>346</v>
      </c>
      <c r="I84" t="s">
        <v>347</v>
      </c>
      <c r="J84" t="s">
        <v>21</v>
      </c>
      <c r="K84" s="2">
        <v>51</v>
      </c>
      <c r="L84" s="2" t="str">
        <f>"26.02.17"</f>
        <v>26.02.17</v>
      </c>
    </row>
    <row r="85" spans="1:12" x14ac:dyDescent="0.25">
      <c r="A85">
        <v>82</v>
      </c>
      <c r="B85">
        <v>20125</v>
      </c>
      <c r="C85" t="s">
        <v>380</v>
      </c>
      <c r="D85" t="s">
        <v>146</v>
      </c>
      <c r="E85" t="s">
        <v>381</v>
      </c>
      <c r="F85" t="s">
        <v>148</v>
      </c>
      <c r="G85" t="s">
        <v>18</v>
      </c>
      <c r="H85" t="s">
        <v>382</v>
      </c>
      <c r="I85" t="s">
        <v>383</v>
      </c>
      <c r="J85" t="s">
        <v>21</v>
      </c>
      <c r="K85" s="2">
        <v>46</v>
      </c>
      <c r="L85" s="2" t="str">
        <f>"26.02.11"</f>
        <v>26.02.11</v>
      </c>
    </row>
    <row r="86" spans="1:12" x14ac:dyDescent="0.25">
      <c r="A86">
        <v>83</v>
      </c>
      <c r="B86">
        <v>20127</v>
      </c>
      <c r="C86" t="s">
        <v>191</v>
      </c>
      <c r="D86" t="s">
        <v>384</v>
      </c>
      <c r="E86" t="s">
        <v>192</v>
      </c>
      <c r="F86" t="s">
        <v>385</v>
      </c>
      <c r="G86" t="s">
        <v>18</v>
      </c>
      <c r="H86" t="s">
        <v>143</v>
      </c>
      <c r="I86" t="s">
        <v>144</v>
      </c>
      <c r="J86" t="s">
        <v>21</v>
      </c>
      <c r="K86" s="2">
        <v>51</v>
      </c>
      <c r="L86" s="2" t="str">
        <f>"26.02.09"</f>
        <v>26.02.09</v>
      </c>
    </row>
    <row r="87" spans="1:12" x14ac:dyDescent="0.25">
      <c r="A87">
        <v>84</v>
      </c>
      <c r="B87">
        <v>20128</v>
      </c>
      <c r="C87" t="s">
        <v>386</v>
      </c>
      <c r="D87" t="s">
        <v>94</v>
      </c>
      <c r="E87" t="s">
        <v>387</v>
      </c>
      <c r="F87" t="s">
        <v>96</v>
      </c>
      <c r="G87" t="s">
        <v>18</v>
      </c>
      <c r="H87" t="s">
        <v>127</v>
      </c>
      <c r="I87" t="s">
        <v>128</v>
      </c>
      <c r="J87" t="s">
        <v>21</v>
      </c>
      <c r="K87" s="2">
        <v>46</v>
      </c>
      <c r="L87" s="2" t="str">
        <f>"23.09.00"</f>
        <v>23.09.00</v>
      </c>
    </row>
    <row r="88" spans="1:12" x14ac:dyDescent="0.25">
      <c r="A88">
        <v>85</v>
      </c>
      <c r="B88">
        <v>20131</v>
      </c>
      <c r="C88" t="s">
        <v>191</v>
      </c>
      <c r="D88" t="s">
        <v>94</v>
      </c>
      <c r="E88" t="s">
        <v>192</v>
      </c>
      <c r="F88" t="s">
        <v>96</v>
      </c>
      <c r="G88" t="s">
        <v>18</v>
      </c>
      <c r="H88" t="s">
        <v>388</v>
      </c>
      <c r="I88" t="s">
        <v>389</v>
      </c>
      <c r="J88" t="s">
        <v>21</v>
      </c>
      <c r="K88" s="2">
        <v>53</v>
      </c>
      <c r="L88" s="2" t="str">
        <f>"26.02.10"</f>
        <v>26.02.10</v>
      </c>
    </row>
    <row r="89" spans="1:12" x14ac:dyDescent="0.25">
      <c r="A89">
        <v>86</v>
      </c>
      <c r="B89">
        <v>20137</v>
      </c>
      <c r="C89" t="s">
        <v>390</v>
      </c>
      <c r="D89" t="s">
        <v>325</v>
      </c>
      <c r="E89" t="s">
        <v>391</v>
      </c>
      <c r="F89" t="s">
        <v>327</v>
      </c>
      <c r="G89" t="s">
        <v>56</v>
      </c>
      <c r="H89" t="s">
        <v>392</v>
      </c>
      <c r="I89" t="s">
        <v>393</v>
      </c>
      <c r="J89" t="s">
        <v>21</v>
      </c>
      <c r="K89" s="2">
        <v>55</v>
      </c>
      <c r="L89" s="2" t="str">
        <f>"26.01.19"</f>
        <v>26.01.19</v>
      </c>
    </row>
    <row r="90" spans="1:12" x14ac:dyDescent="0.25">
      <c r="A90">
        <v>87</v>
      </c>
      <c r="B90">
        <v>20144</v>
      </c>
      <c r="C90" t="s">
        <v>394</v>
      </c>
      <c r="D90" t="s">
        <v>335</v>
      </c>
      <c r="E90" t="s">
        <v>395</v>
      </c>
      <c r="F90" t="s">
        <v>337</v>
      </c>
      <c r="G90" t="s">
        <v>18</v>
      </c>
      <c r="H90" t="s">
        <v>50</v>
      </c>
      <c r="I90" t="s">
        <v>27</v>
      </c>
      <c r="J90" t="s">
        <v>21</v>
      </c>
      <c r="K90" s="2">
        <v>48</v>
      </c>
      <c r="L90" s="2" t="str">
        <f>"26.01.28"</f>
        <v>26.01.28</v>
      </c>
    </row>
    <row r="91" spans="1:12" x14ac:dyDescent="0.25">
      <c r="A91">
        <v>88</v>
      </c>
      <c r="B91">
        <v>20152</v>
      </c>
      <c r="C91" t="s">
        <v>396</v>
      </c>
      <c r="D91" t="s">
        <v>397</v>
      </c>
      <c r="E91" t="s">
        <v>398</v>
      </c>
      <c r="F91" t="s">
        <v>399</v>
      </c>
      <c r="G91" t="s">
        <v>18</v>
      </c>
      <c r="H91" t="s">
        <v>167</v>
      </c>
      <c r="I91" t="s">
        <v>168</v>
      </c>
      <c r="J91" t="s">
        <v>21</v>
      </c>
      <c r="K91" s="2">
        <v>51</v>
      </c>
      <c r="L91" s="2" t="str">
        <f>"26.02.00"</f>
        <v>26.02.00</v>
      </c>
    </row>
    <row r="92" spans="1:12" x14ac:dyDescent="0.25">
      <c r="A92">
        <v>89</v>
      </c>
      <c r="B92">
        <v>20159</v>
      </c>
      <c r="C92" t="s">
        <v>400</v>
      </c>
      <c r="D92" t="s">
        <v>364</v>
      </c>
      <c r="E92" t="s">
        <v>401</v>
      </c>
      <c r="F92" t="s">
        <v>365</v>
      </c>
      <c r="G92" t="s">
        <v>18</v>
      </c>
      <c r="H92" t="s">
        <v>402</v>
      </c>
      <c r="I92" t="s">
        <v>403</v>
      </c>
      <c r="J92" t="s">
        <v>21</v>
      </c>
      <c r="K92" s="2">
        <v>54</v>
      </c>
      <c r="L92" s="2" t="str">
        <f>"26.00.21"</f>
        <v>26.00.21</v>
      </c>
    </row>
    <row r="93" spans="1:12" x14ac:dyDescent="0.25">
      <c r="A93">
        <v>90</v>
      </c>
      <c r="B93">
        <v>20160</v>
      </c>
      <c r="C93" t="s">
        <v>404</v>
      </c>
      <c r="D93" t="s">
        <v>199</v>
      </c>
      <c r="E93" t="s">
        <v>405</v>
      </c>
      <c r="F93" t="s">
        <v>201</v>
      </c>
      <c r="G93" t="s">
        <v>18</v>
      </c>
      <c r="H93" t="s">
        <v>161</v>
      </c>
      <c r="I93" t="s">
        <v>162</v>
      </c>
      <c r="J93" t="s">
        <v>21</v>
      </c>
      <c r="K93" s="2">
        <v>48</v>
      </c>
      <c r="L93" s="2" t="str">
        <f>"26.00.10"</f>
        <v>26.00.10</v>
      </c>
    </row>
    <row r="94" spans="1:12" x14ac:dyDescent="0.25">
      <c r="A94">
        <v>91</v>
      </c>
      <c r="B94">
        <v>20162</v>
      </c>
      <c r="C94" t="s">
        <v>406</v>
      </c>
      <c r="D94" t="s">
        <v>256</v>
      </c>
      <c r="E94" t="s">
        <v>407</v>
      </c>
      <c r="F94" t="s">
        <v>257</v>
      </c>
      <c r="G94" t="s">
        <v>18</v>
      </c>
      <c r="H94" t="s">
        <v>408</v>
      </c>
      <c r="I94" t="s">
        <v>409</v>
      </c>
      <c r="J94" t="s">
        <v>21</v>
      </c>
      <c r="K94" s="2">
        <v>53</v>
      </c>
      <c r="L94" s="2" t="str">
        <f>"26.00.09"</f>
        <v>26.00.09</v>
      </c>
    </row>
    <row r="95" spans="1:12" x14ac:dyDescent="0.25">
      <c r="A95">
        <v>92</v>
      </c>
      <c r="B95">
        <v>20163</v>
      </c>
      <c r="C95" t="s">
        <v>410</v>
      </c>
      <c r="D95" t="s">
        <v>411</v>
      </c>
      <c r="E95" t="s">
        <v>412</v>
      </c>
      <c r="F95" t="s">
        <v>413</v>
      </c>
      <c r="G95" t="s">
        <v>18</v>
      </c>
      <c r="H95" t="s">
        <v>414</v>
      </c>
      <c r="I95" t="s">
        <v>415</v>
      </c>
      <c r="J95" t="s">
        <v>21</v>
      </c>
      <c r="K95" s="2">
        <v>61</v>
      </c>
      <c r="L95" s="2" t="str">
        <f>"26.00.11"</f>
        <v>26.00.11</v>
      </c>
    </row>
    <row r="96" spans="1:12" x14ac:dyDescent="0.25">
      <c r="A96">
        <v>93</v>
      </c>
      <c r="B96">
        <v>20167</v>
      </c>
      <c r="C96" t="s">
        <v>416</v>
      </c>
      <c r="D96" t="s">
        <v>343</v>
      </c>
      <c r="E96" t="s">
        <v>417</v>
      </c>
      <c r="F96" t="s">
        <v>345</v>
      </c>
      <c r="G96" t="s">
        <v>18</v>
      </c>
      <c r="H96" t="s">
        <v>50</v>
      </c>
      <c r="I96" t="s">
        <v>27</v>
      </c>
      <c r="J96" t="s">
        <v>21</v>
      </c>
      <c r="K96" s="2">
        <v>51</v>
      </c>
      <c r="L96" s="2" t="str">
        <f>"25.03.09"</f>
        <v>25.03.09</v>
      </c>
    </row>
    <row r="97" spans="1:12" x14ac:dyDescent="0.25">
      <c r="A97">
        <v>94</v>
      </c>
      <c r="B97">
        <v>20168</v>
      </c>
      <c r="C97" t="s">
        <v>418</v>
      </c>
      <c r="D97" t="s">
        <v>419</v>
      </c>
      <c r="E97" t="s">
        <v>420</v>
      </c>
      <c r="F97" t="s">
        <v>421</v>
      </c>
      <c r="G97" t="s">
        <v>18</v>
      </c>
      <c r="H97" t="s">
        <v>127</v>
      </c>
      <c r="I97" t="s">
        <v>128</v>
      </c>
      <c r="J97" t="s">
        <v>21</v>
      </c>
      <c r="K97" s="2">
        <v>47</v>
      </c>
      <c r="L97" s="2" t="str">
        <f>"25.11.29"</f>
        <v>25.11.29</v>
      </c>
    </row>
    <row r="98" spans="1:12" x14ac:dyDescent="0.25">
      <c r="A98">
        <v>95</v>
      </c>
      <c r="B98">
        <v>20178</v>
      </c>
      <c r="C98" t="s">
        <v>422</v>
      </c>
      <c r="D98" t="s">
        <v>423</v>
      </c>
      <c r="E98" t="s">
        <v>424</v>
      </c>
      <c r="F98" t="s">
        <v>425</v>
      </c>
      <c r="G98" t="s">
        <v>18</v>
      </c>
      <c r="H98" t="s">
        <v>426</v>
      </c>
      <c r="I98" t="s">
        <v>427</v>
      </c>
      <c r="J98" t="s">
        <v>21</v>
      </c>
      <c r="K98" s="2">
        <v>52</v>
      </c>
      <c r="L98" s="2" t="str">
        <f>"25.11.11"</f>
        <v>25.11.11</v>
      </c>
    </row>
    <row r="99" spans="1:12" x14ac:dyDescent="0.25">
      <c r="A99">
        <v>96</v>
      </c>
      <c r="B99">
        <v>20182</v>
      </c>
      <c r="C99" t="s">
        <v>428</v>
      </c>
      <c r="D99" t="s">
        <v>429</v>
      </c>
      <c r="E99" t="s">
        <v>430</v>
      </c>
      <c r="F99" t="s">
        <v>431</v>
      </c>
      <c r="G99" t="s">
        <v>18</v>
      </c>
      <c r="H99" t="s">
        <v>310</v>
      </c>
      <c r="I99" t="s">
        <v>311</v>
      </c>
      <c r="J99" t="s">
        <v>21</v>
      </c>
      <c r="K99" s="2">
        <v>46</v>
      </c>
      <c r="L99" s="2" t="str">
        <f>"25.11.14"</f>
        <v>25.11.14</v>
      </c>
    </row>
    <row r="100" spans="1:12" x14ac:dyDescent="0.25">
      <c r="A100">
        <v>97</v>
      </c>
      <c r="B100">
        <v>20184</v>
      </c>
      <c r="C100" t="s">
        <v>432</v>
      </c>
      <c r="D100" t="s">
        <v>433</v>
      </c>
      <c r="E100" t="s">
        <v>434</v>
      </c>
      <c r="F100" t="s">
        <v>435</v>
      </c>
      <c r="G100" t="s">
        <v>18</v>
      </c>
      <c r="H100" t="s">
        <v>436</v>
      </c>
      <c r="I100" t="s">
        <v>437</v>
      </c>
      <c r="J100" t="s">
        <v>21</v>
      </c>
      <c r="K100" s="2">
        <v>60</v>
      </c>
      <c r="L100" s="2" t="str">
        <f>"25.11.14"</f>
        <v>25.11.14</v>
      </c>
    </row>
    <row r="101" spans="1:12" x14ac:dyDescent="0.25">
      <c r="A101">
        <v>98</v>
      </c>
      <c r="B101">
        <v>20191</v>
      </c>
      <c r="C101" t="s">
        <v>438</v>
      </c>
      <c r="D101" t="s">
        <v>439</v>
      </c>
      <c r="E101" t="s">
        <v>440</v>
      </c>
      <c r="F101" t="s">
        <v>441</v>
      </c>
      <c r="G101" t="s">
        <v>18</v>
      </c>
      <c r="H101" t="s">
        <v>442</v>
      </c>
      <c r="I101" t="s">
        <v>443</v>
      </c>
      <c r="J101" t="s">
        <v>21</v>
      </c>
      <c r="K101" s="2">
        <v>50</v>
      </c>
      <c r="L101" s="2" t="str">
        <f>"25.11.05"</f>
        <v>25.11.05</v>
      </c>
    </row>
    <row r="102" spans="1:12" x14ac:dyDescent="0.25">
      <c r="A102">
        <v>99</v>
      </c>
      <c r="B102">
        <v>20195</v>
      </c>
      <c r="C102" t="s">
        <v>444</v>
      </c>
      <c r="D102" t="s">
        <v>445</v>
      </c>
      <c r="E102" t="s">
        <v>446</v>
      </c>
      <c r="F102" t="s">
        <v>447</v>
      </c>
      <c r="G102" t="s">
        <v>18</v>
      </c>
      <c r="H102" t="s">
        <v>448</v>
      </c>
      <c r="I102" t="s">
        <v>27</v>
      </c>
      <c r="J102" t="s">
        <v>21</v>
      </c>
      <c r="K102" s="2">
        <v>56</v>
      </c>
      <c r="L102" s="2" t="str">
        <f>"25.11.05"</f>
        <v>25.11.05</v>
      </c>
    </row>
    <row r="103" spans="1:12" x14ac:dyDescent="0.25">
      <c r="A103">
        <v>100</v>
      </c>
      <c r="B103">
        <v>20203</v>
      </c>
      <c r="C103" t="s">
        <v>449</v>
      </c>
      <c r="D103" t="s">
        <v>450</v>
      </c>
      <c r="E103" t="s">
        <v>451</v>
      </c>
      <c r="F103" t="s">
        <v>452</v>
      </c>
      <c r="G103" t="s">
        <v>18</v>
      </c>
      <c r="H103" t="s">
        <v>214</v>
      </c>
      <c r="I103" t="s">
        <v>215</v>
      </c>
      <c r="J103" t="s">
        <v>21</v>
      </c>
      <c r="K103" s="2">
        <v>49</v>
      </c>
      <c r="L103" s="2" t="str">
        <f>"25.11.08"</f>
        <v>25.11.08</v>
      </c>
    </row>
    <row r="104" spans="1:12" x14ac:dyDescent="0.25">
      <c r="A104">
        <v>101</v>
      </c>
      <c r="B104">
        <v>20210</v>
      </c>
      <c r="C104" t="s">
        <v>453</v>
      </c>
      <c r="D104" t="s">
        <v>65</v>
      </c>
      <c r="E104" t="s">
        <v>454</v>
      </c>
      <c r="F104" t="s">
        <v>67</v>
      </c>
      <c r="G104" t="s">
        <v>18</v>
      </c>
      <c r="H104" t="s">
        <v>382</v>
      </c>
      <c r="I104" t="s">
        <v>383</v>
      </c>
      <c r="J104" t="s">
        <v>21</v>
      </c>
      <c r="K104" s="2">
        <v>52</v>
      </c>
      <c r="L104" s="2" t="str">
        <f>"25.11.06"</f>
        <v>25.11.06</v>
      </c>
    </row>
    <row r="105" spans="1:12" x14ac:dyDescent="0.25">
      <c r="A105">
        <v>102</v>
      </c>
      <c r="B105">
        <v>20212</v>
      </c>
      <c r="C105" t="s">
        <v>376</v>
      </c>
      <c r="D105" t="s">
        <v>455</v>
      </c>
      <c r="E105" t="s">
        <v>378</v>
      </c>
      <c r="F105" t="s">
        <v>456</v>
      </c>
      <c r="G105" t="s">
        <v>18</v>
      </c>
      <c r="H105" t="s">
        <v>457</v>
      </c>
      <c r="I105" t="s">
        <v>458</v>
      </c>
      <c r="J105" t="s">
        <v>21</v>
      </c>
      <c r="K105" s="2">
        <v>57</v>
      </c>
      <c r="L105" s="2" t="str">
        <f>"25.10.29"</f>
        <v>25.10.29</v>
      </c>
    </row>
    <row r="106" spans="1:12" x14ac:dyDescent="0.25">
      <c r="A106">
        <v>103</v>
      </c>
      <c r="B106">
        <v>20218</v>
      </c>
      <c r="C106" t="s">
        <v>459</v>
      </c>
      <c r="D106" t="s">
        <v>460</v>
      </c>
      <c r="E106" t="s">
        <v>461</v>
      </c>
      <c r="F106" t="s">
        <v>462</v>
      </c>
      <c r="G106" t="s">
        <v>18</v>
      </c>
      <c r="H106" t="s">
        <v>463</v>
      </c>
      <c r="I106" t="s">
        <v>464</v>
      </c>
      <c r="J106" t="s">
        <v>21</v>
      </c>
      <c r="K106" s="2">
        <v>53</v>
      </c>
      <c r="L106" s="2" t="str">
        <f>"25.11.06"</f>
        <v>25.11.06</v>
      </c>
    </row>
    <row r="107" spans="1:12" x14ac:dyDescent="0.25">
      <c r="A107">
        <v>104</v>
      </c>
      <c r="B107">
        <v>20225</v>
      </c>
      <c r="C107" t="s">
        <v>465</v>
      </c>
      <c r="D107" t="s">
        <v>269</v>
      </c>
      <c r="E107" t="s">
        <v>466</v>
      </c>
      <c r="F107" t="s">
        <v>271</v>
      </c>
      <c r="G107" t="s">
        <v>18</v>
      </c>
      <c r="H107" t="s">
        <v>467</v>
      </c>
      <c r="I107" t="s">
        <v>468</v>
      </c>
      <c r="J107" t="s">
        <v>21</v>
      </c>
      <c r="K107" s="2">
        <v>53</v>
      </c>
      <c r="L107" s="2" t="str">
        <f>"25.10.15"</f>
        <v>25.10.15</v>
      </c>
    </row>
    <row r="108" spans="1:12" x14ac:dyDescent="0.25">
      <c r="A108">
        <v>105</v>
      </c>
      <c r="B108">
        <v>20226</v>
      </c>
      <c r="C108" t="s">
        <v>216</v>
      </c>
      <c r="D108" t="s">
        <v>469</v>
      </c>
      <c r="E108" t="s">
        <v>218</v>
      </c>
      <c r="F108" t="s">
        <v>470</v>
      </c>
      <c r="G108" t="s">
        <v>18</v>
      </c>
      <c r="H108" t="s">
        <v>471</v>
      </c>
      <c r="I108" t="s">
        <v>62</v>
      </c>
      <c r="J108" t="s">
        <v>63</v>
      </c>
      <c r="K108" s="2">
        <v>61</v>
      </c>
      <c r="L108" s="2" t="str">
        <f>"25.10.15"</f>
        <v>25.10.15</v>
      </c>
    </row>
    <row r="109" spans="1:12" x14ac:dyDescent="0.25">
      <c r="A109">
        <v>106</v>
      </c>
      <c r="B109">
        <v>20231</v>
      </c>
      <c r="C109" t="s">
        <v>390</v>
      </c>
      <c r="D109" t="s">
        <v>99</v>
      </c>
      <c r="E109" t="s">
        <v>391</v>
      </c>
      <c r="F109" t="s">
        <v>101</v>
      </c>
      <c r="G109" t="s">
        <v>18</v>
      </c>
      <c r="H109" t="s">
        <v>50</v>
      </c>
      <c r="I109" t="s">
        <v>27</v>
      </c>
      <c r="J109" t="s">
        <v>21</v>
      </c>
      <c r="K109" s="2">
        <v>50</v>
      </c>
      <c r="L109" s="2" t="str">
        <f>"25.10.14"</f>
        <v>25.10.14</v>
      </c>
    </row>
    <row r="110" spans="1:12" x14ac:dyDescent="0.25">
      <c r="A110">
        <v>107</v>
      </c>
      <c r="B110">
        <v>20232</v>
      </c>
      <c r="C110" t="s">
        <v>472</v>
      </c>
      <c r="D110" t="s">
        <v>94</v>
      </c>
      <c r="E110" t="s">
        <v>473</v>
      </c>
      <c r="F110" t="s">
        <v>96</v>
      </c>
      <c r="G110" t="s">
        <v>18</v>
      </c>
      <c r="H110" t="s">
        <v>112</v>
      </c>
      <c r="I110" t="s">
        <v>27</v>
      </c>
      <c r="J110" t="s">
        <v>21</v>
      </c>
      <c r="K110" s="2">
        <v>47</v>
      </c>
      <c r="L110" s="2" t="str">
        <f>"25.10.12"</f>
        <v>25.10.12</v>
      </c>
    </row>
    <row r="111" spans="1:12" x14ac:dyDescent="0.25">
      <c r="A111">
        <v>108</v>
      </c>
      <c r="B111">
        <v>20233</v>
      </c>
      <c r="C111" t="s">
        <v>472</v>
      </c>
      <c r="D111" t="s">
        <v>154</v>
      </c>
      <c r="E111" t="s">
        <v>473</v>
      </c>
      <c r="F111" t="s">
        <v>156</v>
      </c>
      <c r="G111" t="s">
        <v>18</v>
      </c>
      <c r="H111" t="s">
        <v>127</v>
      </c>
      <c r="I111" t="s">
        <v>128</v>
      </c>
      <c r="J111" t="s">
        <v>21</v>
      </c>
      <c r="K111" s="2">
        <v>48</v>
      </c>
      <c r="L111" s="2" t="str">
        <f>"25.10.13"</f>
        <v>25.10.13</v>
      </c>
    </row>
    <row r="112" spans="1:12" x14ac:dyDescent="0.25">
      <c r="A112">
        <v>109</v>
      </c>
      <c r="B112">
        <v>20234</v>
      </c>
      <c r="C112" t="s">
        <v>474</v>
      </c>
      <c r="D112" t="s">
        <v>99</v>
      </c>
      <c r="E112" t="s">
        <v>475</v>
      </c>
      <c r="F112" t="s">
        <v>101</v>
      </c>
      <c r="G112" t="s">
        <v>18</v>
      </c>
      <c r="H112" t="s">
        <v>476</v>
      </c>
      <c r="I112" t="s">
        <v>20</v>
      </c>
      <c r="J112" t="s">
        <v>63</v>
      </c>
      <c r="K112" s="2">
        <v>59</v>
      </c>
      <c r="L112" s="2" t="str">
        <f>"25.10.15"</f>
        <v>25.10.15</v>
      </c>
    </row>
    <row r="113" spans="1:12" x14ac:dyDescent="0.25">
      <c r="A113">
        <v>110</v>
      </c>
      <c r="B113">
        <v>20235</v>
      </c>
      <c r="C113" t="s">
        <v>477</v>
      </c>
      <c r="D113" t="s">
        <v>261</v>
      </c>
      <c r="E113" t="s">
        <v>478</v>
      </c>
      <c r="F113" t="s">
        <v>263</v>
      </c>
      <c r="G113" t="s">
        <v>18</v>
      </c>
      <c r="H113" t="s">
        <v>50</v>
      </c>
      <c r="I113" t="s">
        <v>27</v>
      </c>
      <c r="J113" t="s">
        <v>21</v>
      </c>
      <c r="K113" s="2">
        <v>45</v>
      </c>
      <c r="L113" s="2" t="str">
        <f>"25.10.12"</f>
        <v>25.10.12</v>
      </c>
    </row>
    <row r="114" spans="1:12" x14ac:dyDescent="0.25">
      <c r="A114">
        <v>111</v>
      </c>
      <c r="B114">
        <v>20236</v>
      </c>
      <c r="C114" t="s">
        <v>479</v>
      </c>
      <c r="D114" t="s">
        <v>146</v>
      </c>
      <c r="E114" t="s">
        <v>480</v>
      </c>
      <c r="F114" t="s">
        <v>148</v>
      </c>
      <c r="G114" t="s">
        <v>18</v>
      </c>
      <c r="H114" t="s">
        <v>264</v>
      </c>
      <c r="I114" t="s">
        <v>265</v>
      </c>
      <c r="J114" t="s">
        <v>21</v>
      </c>
      <c r="K114" s="2">
        <v>49</v>
      </c>
      <c r="L114" s="2" t="str">
        <f>"25.10.11"</f>
        <v>25.10.11</v>
      </c>
    </row>
    <row r="115" spans="1:12" x14ac:dyDescent="0.25">
      <c r="A115">
        <v>112</v>
      </c>
      <c r="B115">
        <v>20238</v>
      </c>
      <c r="C115" t="s">
        <v>198</v>
      </c>
      <c r="D115" t="s">
        <v>481</v>
      </c>
      <c r="E115" t="s">
        <v>200</v>
      </c>
      <c r="F115" t="s">
        <v>482</v>
      </c>
      <c r="G115" t="s">
        <v>18</v>
      </c>
      <c r="H115" t="s">
        <v>91</v>
      </c>
      <c r="I115" t="s">
        <v>92</v>
      </c>
      <c r="J115" t="s">
        <v>21</v>
      </c>
      <c r="K115" s="2">
        <v>53</v>
      </c>
      <c r="L115" s="2" t="str">
        <f>"25.10.13"</f>
        <v>25.10.13</v>
      </c>
    </row>
    <row r="116" spans="1:12" x14ac:dyDescent="0.25">
      <c r="A116">
        <v>113</v>
      </c>
      <c r="B116">
        <v>20245</v>
      </c>
      <c r="C116" t="s">
        <v>483</v>
      </c>
      <c r="D116" t="s">
        <v>484</v>
      </c>
      <c r="E116" t="s">
        <v>485</v>
      </c>
      <c r="F116" t="s">
        <v>486</v>
      </c>
      <c r="G116" t="s">
        <v>18</v>
      </c>
      <c r="H116" t="s">
        <v>487</v>
      </c>
      <c r="I116" t="s">
        <v>488</v>
      </c>
      <c r="J116" t="s">
        <v>21</v>
      </c>
      <c r="K116" s="2">
        <v>48</v>
      </c>
      <c r="L116" s="2" t="str">
        <f>"09.08.10"</f>
        <v>09.08.10</v>
      </c>
    </row>
    <row r="117" spans="1:12" x14ac:dyDescent="0.25">
      <c r="A117">
        <v>114</v>
      </c>
      <c r="B117">
        <v>20246</v>
      </c>
      <c r="C117" t="s">
        <v>489</v>
      </c>
      <c r="D117" t="s">
        <v>256</v>
      </c>
      <c r="E117" t="s">
        <v>490</v>
      </c>
      <c r="F117" t="s">
        <v>257</v>
      </c>
      <c r="G117" t="s">
        <v>18</v>
      </c>
      <c r="H117" t="s">
        <v>214</v>
      </c>
      <c r="I117" t="s">
        <v>215</v>
      </c>
      <c r="J117" t="s">
        <v>21</v>
      </c>
      <c r="K117" s="2">
        <v>51</v>
      </c>
      <c r="L117" s="2" t="str">
        <f>"25.10.13"</f>
        <v>25.10.13</v>
      </c>
    </row>
    <row r="118" spans="1:12" x14ac:dyDescent="0.25">
      <c r="A118">
        <v>115</v>
      </c>
      <c r="B118">
        <v>20248</v>
      </c>
      <c r="C118" t="s">
        <v>491</v>
      </c>
      <c r="D118" t="s">
        <v>492</v>
      </c>
      <c r="E118" t="s">
        <v>493</v>
      </c>
      <c r="F118" t="s">
        <v>494</v>
      </c>
      <c r="G118" t="s">
        <v>18</v>
      </c>
      <c r="H118" t="s">
        <v>495</v>
      </c>
      <c r="I118" t="s">
        <v>496</v>
      </c>
      <c r="J118" t="s">
        <v>21</v>
      </c>
      <c r="K118" s="2">
        <v>50</v>
      </c>
      <c r="L118" s="2" t="str">
        <f>"25.10.13"</f>
        <v>25.10.13</v>
      </c>
    </row>
    <row r="119" spans="1:12" x14ac:dyDescent="0.25">
      <c r="A119">
        <v>116</v>
      </c>
      <c r="B119">
        <v>20253</v>
      </c>
      <c r="C119" t="s">
        <v>497</v>
      </c>
      <c r="D119" t="s">
        <v>498</v>
      </c>
      <c r="E119" t="s">
        <v>499</v>
      </c>
      <c r="F119" t="s">
        <v>500</v>
      </c>
      <c r="G119" t="s">
        <v>18</v>
      </c>
      <c r="H119" t="s">
        <v>127</v>
      </c>
      <c r="I119" t="s">
        <v>128</v>
      </c>
      <c r="J119" t="s">
        <v>21</v>
      </c>
      <c r="K119" s="2">
        <v>49</v>
      </c>
      <c r="L119" s="2" t="str">
        <f>"25.10.12"</f>
        <v>25.10.12</v>
      </c>
    </row>
    <row r="120" spans="1:12" x14ac:dyDescent="0.25">
      <c r="A120">
        <v>117</v>
      </c>
      <c r="B120">
        <v>20255</v>
      </c>
      <c r="C120" t="s">
        <v>501</v>
      </c>
      <c r="D120" t="s">
        <v>99</v>
      </c>
      <c r="E120" t="s">
        <v>502</v>
      </c>
      <c r="F120" t="s">
        <v>101</v>
      </c>
      <c r="G120" t="s">
        <v>18</v>
      </c>
      <c r="H120" t="s">
        <v>503</v>
      </c>
      <c r="I120" t="s">
        <v>504</v>
      </c>
      <c r="J120" t="s">
        <v>21</v>
      </c>
      <c r="K120" s="2">
        <v>46</v>
      </c>
      <c r="L120" s="2" t="str">
        <f>"24.10.02"</f>
        <v>24.10.02</v>
      </c>
    </row>
    <row r="121" spans="1:12" x14ac:dyDescent="0.25">
      <c r="A121">
        <v>118</v>
      </c>
      <c r="B121">
        <v>20261</v>
      </c>
      <c r="C121" t="s">
        <v>505</v>
      </c>
      <c r="D121" t="s">
        <v>146</v>
      </c>
      <c r="E121" t="s">
        <v>506</v>
      </c>
      <c r="F121" t="s">
        <v>148</v>
      </c>
      <c r="G121" t="s">
        <v>18</v>
      </c>
      <c r="H121" t="s">
        <v>50</v>
      </c>
      <c r="I121" t="s">
        <v>27</v>
      </c>
      <c r="J121" t="s">
        <v>21</v>
      </c>
      <c r="K121" s="2">
        <v>47</v>
      </c>
      <c r="L121" s="2" t="str">
        <f>"25.10.15"</f>
        <v>25.10.15</v>
      </c>
    </row>
    <row r="122" spans="1:12" x14ac:dyDescent="0.25">
      <c r="A122">
        <v>119</v>
      </c>
      <c r="B122">
        <v>20262</v>
      </c>
      <c r="C122" t="s">
        <v>507</v>
      </c>
      <c r="D122" t="s">
        <v>199</v>
      </c>
      <c r="E122" t="s">
        <v>508</v>
      </c>
      <c r="F122" t="s">
        <v>201</v>
      </c>
      <c r="G122" t="s">
        <v>18</v>
      </c>
      <c r="H122" t="s">
        <v>50</v>
      </c>
      <c r="I122" t="s">
        <v>27</v>
      </c>
      <c r="J122" t="s">
        <v>21</v>
      </c>
      <c r="K122" s="2">
        <v>48</v>
      </c>
      <c r="L122" s="2" t="str">
        <f>"25.10.11"</f>
        <v>25.10.11</v>
      </c>
    </row>
    <row r="123" spans="1:12" x14ac:dyDescent="0.25">
      <c r="A123">
        <v>120</v>
      </c>
      <c r="B123">
        <v>20263</v>
      </c>
      <c r="C123" t="s">
        <v>509</v>
      </c>
      <c r="D123" t="s">
        <v>510</v>
      </c>
      <c r="E123" t="s">
        <v>511</v>
      </c>
      <c r="F123" t="s">
        <v>512</v>
      </c>
      <c r="G123" t="s">
        <v>18</v>
      </c>
      <c r="H123" t="s">
        <v>127</v>
      </c>
      <c r="I123" t="s">
        <v>128</v>
      </c>
      <c r="J123" t="s">
        <v>21</v>
      </c>
      <c r="K123" s="2">
        <v>51</v>
      </c>
      <c r="L123" s="2" t="str">
        <f>"25.10.12"</f>
        <v>25.10.12</v>
      </c>
    </row>
    <row r="124" spans="1:12" x14ac:dyDescent="0.25">
      <c r="A124">
        <v>121</v>
      </c>
      <c r="B124">
        <v>20267</v>
      </c>
      <c r="C124" t="s">
        <v>513</v>
      </c>
      <c r="D124" t="s">
        <v>514</v>
      </c>
      <c r="E124" t="s">
        <v>515</v>
      </c>
      <c r="F124" t="s">
        <v>516</v>
      </c>
      <c r="G124" t="s">
        <v>18</v>
      </c>
      <c r="H124" t="s">
        <v>517</v>
      </c>
      <c r="I124" t="s">
        <v>518</v>
      </c>
      <c r="J124" t="s">
        <v>21</v>
      </c>
      <c r="K124" s="2">
        <v>54</v>
      </c>
      <c r="L124" s="2" t="str">
        <f>"25.10.00"</f>
        <v>25.10.00</v>
      </c>
    </row>
    <row r="125" spans="1:12" x14ac:dyDescent="0.25">
      <c r="A125">
        <v>122</v>
      </c>
      <c r="B125">
        <v>20271</v>
      </c>
      <c r="C125" t="s">
        <v>519</v>
      </c>
      <c r="D125" t="s">
        <v>520</v>
      </c>
      <c r="E125" t="s">
        <v>521</v>
      </c>
      <c r="F125" t="s">
        <v>522</v>
      </c>
      <c r="G125" t="s">
        <v>18</v>
      </c>
      <c r="H125" t="s">
        <v>346</v>
      </c>
      <c r="I125" t="s">
        <v>347</v>
      </c>
      <c r="J125" t="s">
        <v>21</v>
      </c>
      <c r="K125" s="2">
        <v>62</v>
      </c>
      <c r="L125" s="2" t="str">
        <f>"25.09.12"</f>
        <v>25.09.12</v>
      </c>
    </row>
    <row r="126" spans="1:12" x14ac:dyDescent="0.25">
      <c r="A126">
        <v>123</v>
      </c>
      <c r="B126">
        <v>20272</v>
      </c>
      <c r="C126" t="s">
        <v>523</v>
      </c>
      <c r="D126" t="s">
        <v>524</v>
      </c>
      <c r="E126" t="s">
        <v>525</v>
      </c>
      <c r="F126" t="s">
        <v>526</v>
      </c>
      <c r="G126" t="s">
        <v>56</v>
      </c>
      <c r="H126" t="s">
        <v>57</v>
      </c>
      <c r="I126" t="s">
        <v>58</v>
      </c>
      <c r="J126" t="s">
        <v>21</v>
      </c>
      <c r="K126" s="2">
        <v>59</v>
      </c>
      <c r="L126" s="2" t="str">
        <f>"25.09.26"</f>
        <v>25.09.26</v>
      </c>
    </row>
    <row r="127" spans="1:12" x14ac:dyDescent="0.25">
      <c r="A127">
        <v>124</v>
      </c>
      <c r="B127">
        <v>20275</v>
      </c>
      <c r="C127" t="s">
        <v>527</v>
      </c>
      <c r="D127" t="s">
        <v>528</v>
      </c>
      <c r="E127" t="s">
        <v>529</v>
      </c>
      <c r="F127" t="s">
        <v>530</v>
      </c>
      <c r="G127" t="s">
        <v>18</v>
      </c>
      <c r="H127" t="s">
        <v>531</v>
      </c>
      <c r="I127" t="s">
        <v>532</v>
      </c>
      <c r="J127" t="s">
        <v>21</v>
      </c>
      <c r="K127" s="2">
        <v>56</v>
      </c>
      <c r="L127" s="2" t="str">
        <f>"25.09.26"</f>
        <v>25.09.26</v>
      </c>
    </row>
    <row r="128" spans="1:12" x14ac:dyDescent="0.25">
      <c r="A128">
        <v>125</v>
      </c>
      <c r="B128">
        <v>20280</v>
      </c>
      <c r="C128" t="s">
        <v>34</v>
      </c>
      <c r="D128" t="s">
        <v>533</v>
      </c>
      <c r="E128" t="s">
        <v>36</v>
      </c>
      <c r="F128" t="s">
        <v>534</v>
      </c>
      <c r="G128" t="s">
        <v>18</v>
      </c>
      <c r="H128" t="s">
        <v>50</v>
      </c>
      <c r="I128" t="s">
        <v>27</v>
      </c>
      <c r="J128" t="s">
        <v>21</v>
      </c>
      <c r="K128" s="2">
        <v>46</v>
      </c>
      <c r="L128" s="2" t="str">
        <f>"25.09.24"</f>
        <v>25.09.24</v>
      </c>
    </row>
    <row r="129" spans="1:12" x14ac:dyDescent="0.25">
      <c r="A129">
        <v>126</v>
      </c>
      <c r="B129">
        <v>20283</v>
      </c>
      <c r="C129" t="s">
        <v>40</v>
      </c>
      <c r="D129" t="s">
        <v>535</v>
      </c>
      <c r="E129" t="s">
        <v>42</v>
      </c>
      <c r="F129" t="s">
        <v>536</v>
      </c>
      <c r="G129" t="s">
        <v>18</v>
      </c>
      <c r="H129" t="s">
        <v>248</v>
      </c>
      <c r="I129" t="s">
        <v>249</v>
      </c>
      <c r="J129" t="s">
        <v>21</v>
      </c>
      <c r="K129" s="2">
        <v>56</v>
      </c>
      <c r="L129" s="2" t="str">
        <f>"25.09.28"</f>
        <v>25.09.28</v>
      </c>
    </row>
    <row r="130" spans="1:12" x14ac:dyDescent="0.25">
      <c r="A130">
        <v>127</v>
      </c>
      <c r="B130">
        <v>20284</v>
      </c>
      <c r="C130" t="s">
        <v>537</v>
      </c>
      <c r="D130" t="s">
        <v>146</v>
      </c>
      <c r="E130" t="s">
        <v>538</v>
      </c>
      <c r="F130" t="s">
        <v>148</v>
      </c>
      <c r="G130" t="s">
        <v>18</v>
      </c>
      <c r="H130" t="s">
        <v>226</v>
      </c>
      <c r="I130" t="s">
        <v>227</v>
      </c>
      <c r="J130" t="s">
        <v>86</v>
      </c>
      <c r="K130" s="2">
        <v>48</v>
      </c>
      <c r="L130" s="2" t="str">
        <f>"25.09.25"</f>
        <v>25.09.25</v>
      </c>
    </row>
    <row r="131" spans="1:12" x14ac:dyDescent="0.25">
      <c r="A131">
        <v>128</v>
      </c>
      <c r="B131">
        <v>20286</v>
      </c>
      <c r="C131" t="s">
        <v>539</v>
      </c>
      <c r="D131" t="s">
        <v>146</v>
      </c>
      <c r="E131" t="s">
        <v>540</v>
      </c>
      <c r="F131" t="s">
        <v>148</v>
      </c>
      <c r="G131" t="s">
        <v>18</v>
      </c>
      <c r="H131" t="s">
        <v>541</v>
      </c>
      <c r="I131" t="s">
        <v>542</v>
      </c>
      <c r="J131" t="s">
        <v>86</v>
      </c>
      <c r="K131" s="2">
        <v>48</v>
      </c>
      <c r="L131" s="2" t="str">
        <f>"25.09.25"</f>
        <v>25.09.25</v>
      </c>
    </row>
    <row r="132" spans="1:12" x14ac:dyDescent="0.25">
      <c r="A132">
        <v>129</v>
      </c>
      <c r="B132">
        <v>20296</v>
      </c>
      <c r="C132" t="s">
        <v>539</v>
      </c>
      <c r="D132" t="s">
        <v>94</v>
      </c>
      <c r="E132" t="s">
        <v>540</v>
      </c>
      <c r="F132" t="s">
        <v>96</v>
      </c>
      <c r="G132" t="s">
        <v>18</v>
      </c>
      <c r="H132" t="s">
        <v>531</v>
      </c>
      <c r="I132" t="s">
        <v>532</v>
      </c>
      <c r="J132" t="s">
        <v>21</v>
      </c>
      <c r="K132" s="2">
        <v>53</v>
      </c>
      <c r="L132" s="2" t="str">
        <f>"25.09.18"</f>
        <v>25.09.18</v>
      </c>
    </row>
    <row r="133" spans="1:12" x14ac:dyDescent="0.25">
      <c r="A133">
        <v>130</v>
      </c>
      <c r="B133">
        <v>20297</v>
      </c>
      <c r="C133" t="s">
        <v>543</v>
      </c>
      <c r="D133" t="s">
        <v>544</v>
      </c>
      <c r="E133" t="s">
        <v>545</v>
      </c>
      <c r="F133" t="s">
        <v>546</v>
      </c>
      <c r="G133" t="s">
        <v>18</v>
      </c>
      <c r="H133" t="s">
        <v>50</v>
      </c>
      <c r="I133" t="s">
        <v>51</v>
      </c>
      <c r="J133" t="s">
        <v>21</v>
      </c>
      <c r="K133" s="2">
        <v>47</v>
      </c>
      <c r="L133" s="2" t="str">
        <f>"25.09.16"</f>
        <v>25.09.16</v>
      </c>
    </row>
    <row r="134" spans="1:12" x14ac:dyDescent="0.25">
      <c r="A134">
        <v>131</v>
      </c>
      <c r="B134">
        <v>20298</v>
      </c>
      <c r="C134" t="s">
        <v>547</v>
      </c>
      <c r="D134" t="s">
        <v>164</v>
      </c>
      <c r="E134" t="s">
        <v>548</v>
      </c>
      <c r="F134" t="s">
        <v>166</v>
      </c>
      <c r="G134" t="s">
        <v>18</v>
      </c>
      <c r="H134" t="s">
        <v>143</v>
      </c>
      <c r="I134" t="s">
        <v>144</v>
      </c>
      <c r="J134" t="s">
        <v>21</v>
      </c>
      <c r="K134" s="2">
        <v>45</v>
      </c>
      <c r="L134" s="2" t="str">
        <f>"25.01.00"</f>
        <v>25.01.00</v>
      </c>
    </row>
    <row r="135" spans="1:12" x14ac:dyDescent="0.25">
      <c r="A135">
        <v>132</v>
      </c>
      <c r="B135">
        <v>20299</v>
      </c>
      <c r="C135" t="s">
        <v>549</v>
      </c>
      <c r="D135" t="s">
        <v>550</v>
      </c>
      <c r="E135" t="s">
        <v>551</v>
      </c>
      <c r="F135" t="s">
        <v>552</v>
      </c>
      <c r="G135" t="s">
        <v>18</v>
      </c>
      <c r="H135" t="s">
        <v>97</v>
      </c>
      <c r="I135" t="s">
        <v>39</v>
      </c>
      <c r="J135" t="s">
        <v>21</v>
      </c>
      <c r="K135" s="2">
        <v>59</v>
      </c>
      <c r="L135" s="2" t="str">
        <f>"25.09.25"</f>
        <v>25.09.25</v>
      </c>
    </row>
    <row r="136" spans="1:12" x14ac:dyDescent="0.25">
      <c r="A136">
        <v>133</v>
      </c>
      <c r="B136">
        <v>20300</v>
      </c>
      <c r="C136" t="s">
        <v>553</v>
      </c>
      <c r="D136" t="s">
        <v>371</v>
      </c>
      <c r="E136" t="s">
        <v>554</v>
      </c>
      <c r="F136" t="s">
        <v>373</v>
      </c>
      <c r="G136" t="s">
        <v>18</v>
      </c>
      <c r="H136" t="s">
        <v>264</v>
      </c>
      <c r="I136" t="s">
        <v>265</v>
      </c>
      <c r="J136" t="s">
        <v>21</v>
      </c>
      <c r="K136" s="2">
        <v>48</v>
      </c>
      <c r="L136" s="2" t="str">
        <f>"25.09.27"</f>
        <v>25.09.27</v>
      </c>
    </row>
    <row r="137" spans="1:12" x14ac:dyDescent="0.25">
      <c r="A137">
        <v>134</v>
      </c>
      <c r="B137">
        <v>20308</v>
      </c>
      <c r="C137" t="s">
        <v>555</v>
      </c>
      <c r="D137" t="s">
        <v>556</v>
      </c>
      <c r="E137" t="s">
        <v>557</v>
      </c>
      <c r="F137" t="s">
        <v>558</v>
      </c>
      <c r="G137" t="s">
        <v>18</v>
      </c>
      <c r="H137" t="s">
        <v>50</v>
      </c>
      <c r="I137" t="s">
        <v>27</v>
      </c>
      <c r="J137" t="s">
        <v>21</v>
      </c>
      <c r="K137" s="2">
        <v>47</v>
      </c>
      <c r="L137" s="2" t="str">
        <f>"25.09.10"</f>
        <v>25.09.10</v>
      </c>
    </row>
    <row r="138" spans="1:12" x14ac:dyDescent="0.25">
      <c r="A138">
        <v>135</v>
      </c>
      <c r="B138">
        <v>20316</v>
      </c>
      <c r="C138" t="s">
        <v>40</v>
      </c>
      <c r="D138" t="s">
        <v>188</v>
      </c>
      <c r="E138" t="s">
        <v>42</v>
      </c>
      <c r="F138" t="s">
        <v>190</v>
      </c>
      <c r="G138" t="s">
        <v>18</v>
      </c>
      <c r="H138" t="s">
        <v>91</v>
      </c>
      <c r="I138" t="s">
        <v>92</v>
      </c>
      <c r="J138" t="s">
        <v>21</v>
      </c>
      <c r="K138" s="2">
        <v>49</v>
      </c>
      <c r="L138" s="2" t="str">
        <f>"25.09.02"</f>
        <v>25.09.02</v>
      </c>
    </row>
    <row r="139" spans="1:12" x14ac:dyDescent="0.25">
      <c r="A139">
        <v>136</v>
      </c>
      <c r="B139">
        <v>20320</v>
      </c>
      <c r="C139" t="s">
        <v>559</v>
      </c>
      <c r="D139" t="s">
        <v>560</v>
      </c>
      <c r="E139" t="s">
        <v>561</v>
      </c>
      <c r="F139" t="s">
        <v>562</v>
      </c>
      <c r="G139" t="s">
        <v>56</v>
      </c>
      <c r="H139" t="s">
        <v>563</v>
      </c>
      <c r="I139" t="s">
        <v>564</v>
      </c>
      <c r="J139" t="s">
        <v>86</v>
      </c>
      <c r="K139" s="2">
        <v>47</v>
      </c>
      <c r="L139" s="2" t="str">
        <f>"25.09.02"</f>
        <v>25.09.02</v>
      </c>
    </row>
    <row r="140" spans="1:12" x14ac:dyDescent="0.25">
      <c r="A140">
        <v>137</v>
      </c>
      <c r="B140">
        <v>20323</v>
      </c>
      <c r="C140" t="s">
        <v>565</v>
      </c>
      <c r="D140" t="s">
        <v>566</v>
      </c>
      <c r="E140" t="s">
        <v>567</v>
      </c>
      <c r="F140" t="s">
        <v>568</v>
      </c>
      <c r="G140" t="s">
        <v>18</v>
      </c>
      <c r="H140" t="s">
        <v>569</v>
      </c>
      <c r="I140" t="s">
        <v>570</v>
      </c>
      <c r="J140" t="s">
        <v>86</v>
      </c>
      <c r="K140" s="2">
        <v>51</v>
      </c>
      <c r="L140" s="2" t="str">
        <f>"25.09.02"</f>
        <v>25.09.02</v>
      </c>
    </row>
    <row r="141" spans="1:12" x14ac:dyDescent="0.25">
      <c r="A141">
        <v>138</v>
      </c>
      <c r="B141">
        <v>20324</v>
      </c>
      <c r="C141" t="s">
        <v>571</v>
      </c>
      <c r="D141" t="s">
        <v>572</v>
      </c>
      <c r="E141" t="s">
        <v>573</v>
      </c>
      <c r="F141" t="s">
        <v>172</v>
      </c>
      <c r="G141" t="s">
        <v>56</v>
      </c>
      <c r="H141" t="s">
        <v>574</v>
      </c>
      <c r="I141" t="s">
        <v>575</v>
      </c>
      <c r="J141" t="s">
        <v>21</v>
      </c>
      <c r="K141" s="2">
        <v>47</v>
      </c>
      <c r="L141" s="2" t="str">
        <f>"25.09.02"</f>
        <v>25.09.02</v>
      </c>
    </row>
    <row r="142" spans="1:12" x14ac:dyDescent="0.25">
      <c r="A142">
        <v>139</v>
      </c>
      <c r="B142">
        <v>20325</v>
      </c>
      <c r="C142" t="s">
        <v>576</v>
      </c>
      <c r="D142" t="s">
        <v>35</v>
      </c>
      <c r="E142" t="s">
        <v>577</v>
      </c>
      <c r="F142" t="s">
        <v>37</v>
      </c>
      <c r="G142" t="s">
        <v>18</v>
      </c>
      <c r="H142" t="s">
        <v>44</v>
      </c>
      <c r="I142" t="s">
        <v>45</v>
      </c>
      <c r="J142" t="s">
        <v>21</v>
      </c>
      <c r="K142" s="2">
        <v>60</v>
      </c>
      <c r="L142" s="2" t="str">
        <f>"25.09.06"</f>
        <v>25.09.06</v>
      </c>
    </row>
    <row r="143" spans="1:12" x14ac:dyDescent="0.25">
      <c r="A143">
        <v>140</v>
      </c>
      <c r="B143">
        <v>20328</v>
      </c>
      <c r="C143" t="s">
        <v>578</v>
      </c>
      <c r="D143" t="s">
        <v>579</v>
      </c>
      <c r="E143" t="s">
        <v>580</v>
      </c>
      <c r="F143" t="s">
        <v>581</v>
      </c>
      <c r="G143" t="s">
        <v>18</v>
      </c>
      <c r="H143" t="s">
        <v>582</v>
      </c>
      <c r="I143" t="s">
        <v>583</v>
      </c>
      <c r="J143" t="s">
        <v>21</v>
      </c>
      <c r="K143" s="2">
        <v>62</v>
      </c>
      <c r="L143" s="2" t="str">
        <f>"25.09.01"</f>
        <v>25.09.01</v>
      </c>
    </row>
    <row r="144" spans="1:12" x14ac:dyDescent="0.25">
      <c r="A144">
        <v>141</v>
      </c>
      <c r="B144">
        <v>20332</v>
      </c>
      <c r="C144" t="s">
        <v>46</v>
      </c>
      <c r="D144" t="s">
        <v>335</v>
      </c>
      <c r="E144" t="s">
        <v>48</v>
      </c>
      <c r="F144" t="s">
        <v>337</v>
      </c>
      <c r="G144" t="s">
        <v>18</v>
      </c>
      <c r="H144" t="s">
        <v>584</v>
      </c>
      <c r="I144" t="s">
        <v>585</v>
      </c>
      <c r="J144" t="s">
        <v>21</v>
      </c>
      <c r="K144" s="2">
        <v>49</v>
      </c>
      <c r="L144" s="2" t="str">
        <f>"25.09.03"</f>
        <v>25.09.03</v>
      </c>
    </row>
    <row r="145" spans="1:12" x14ac:dyDescent="0.25">
      <c r="A145">
        <v>142</v>
      </c>
      <c r="B145">
        <v>20335</v>
      </c>
      <c r="C145" t="s">
        <v>34</v>
      </c>
      <c r="D145" t="s">
        <v>47</v>
      </c>
      <c r="E145" t="s">
        <v>36</v>
      </c>
      <c r="F145" t="s">
        <v>49</v>
      </c>
      <c r="G145" t="s">
        <v>18</v>
      </c>
      <c r="H145" t="s">
        <v>310</v>
      </c>
      <c r="I145" t="s">
        <v>311</v>
      </c>
      <c r="J145" t="s">
        <v>21</v>
      </c>
      <c r="K145" s="2">
        <v>55</v>
      </c>
      <c r="L145" s="2" t="str">
        <f>"25.09.05"</f>
        <v>25.09.05</v>
      </c>
    </row>
    <row r="146" spans="1:12" x14ac:dyDescent="0.25">
      <c r="A146">
        <v>143</v>
      </c>
      <c r="B146">
        <v>20341</v>
      </c>
      <c r="C146" t="s">
        <v>489</v>
      </c>
      <c r="D146" t="s">
        <v>586</v>
      </c>
      <c r="E146" t="s">
        <v>490</v>
      </c>
      <c r="F146" t="s">
        <v>587</v>
      </c>
      <c r="G146" t="s">
        <v>18</v>
      </c>
      <c r="H146" t="s">
        <v>382</v>
      </c>
      <c r="I146" t="s">
        <v>383</v>
      </c>
      <c r="J146" t="s">
        <v>21</v>
      </c>
      <c r="K146" s="2">
        <v>47</v>
      </c>
      <c r="L146" s="2" t="str">
        <f>"09.08.09"</f>
        <v>09.08.09</v>
      </c>
    </row>
    <row r="147" spans="1:12" x14ac:dyDescent="0.25">
      <c r="A147">
        <v>144</v>
      </c>
      <c r="B147">
        <v>20350</v>
      </c>
      <c r="C147" t="s">
        <v>588</v>
      </c>
      <c r="D147" t="s">
        <v>343</v>
      </c>
      <c r="E147" t="s">
        <v>589</v>
      </c>
      <c r="F147" t="s">
        <v>345</v>
      </c>
      <c r="G147" t="s">
        <v>18</v>
      </c>
      <c r="H147" t="s">
        <v>382</v>
      </c>
      <c r="I147" t="s">
        <v>383</v>
      </c>
      <c r="J147" t="s">
        <v>21</v>
      </c>
      <c r="K147" s="2">
        <v>56</v>
      </c>
      <c r="L147" s="2" t="str">
        <f>"25.09.02"</f>
        <v>25.09.02</v>
      </c>
    </row>
    <row r="148" spans="1:12" x14ac:dyDescent="0.25">
      <c r="A148">
        <v>145</v>
      </c>
      <c r="B148">
        <v>20351</v>
      </c>
      <c r="C148" t="s">
        <v>133</v>
      </c>
      <c r="D148" t="s">
        <v>217</v>
      </c>
      <c r="E148" t="s">
        <v>135</v>
      </c>
      <c r="F148" t="s">
        <v>219</v>
      </c>
      <c r="G148" t="s">
        <v>18</v>
      </c>
      <c r="H148" t="s">
        <v>50</v>
      </c>
      <c r="I148" t="s">
        <v>27</v>
      </c>
      <c r="J148" t="s">
        <v>21</v>
      </c>
      <c r="K148" s="2">
        <v>50</v>
      </c>
      <c r="L148" s="2" t="str">
        <f>"25.09.03"</f>
        <v>25.09.03</v>
      </c>
    </row>
    <row r="149" spans="1:12" x14ac:dyDescent="0.25">
      <c r="A149">
        <v>146</v>
      </c>
      <c r="B149">
        <v>20357</v>
      </c>
      <c r="C149" t="s">
        <v>588</v>
      </c>
      <c r="D149" t="s">
        <v>199</v>
      </c>
      <c r="E149" t="s">
        <v>589</v>
      </c>
      <c r="F149" t="s">
        <v>201</v>
      </c>
      <c r="G149" t="s">
        <v>18</v>
      </c>
      <c r="H149" t="s">
        <v>278</v>
      </c>
      <c r="I149" t="s">
        <v>279</v>
      </c>
      <c r="J149" t="s">
        <v>86</v>
      </c>
      <c r="K149" s="2">
        <v>52</v>
      </c>
      <c r="L149" s="2" t="str">
        <f>"25.08.28"</f>
        <v>25.08.28</v>
      </c>
    </row>
    <row r="150" spans="1:12" x14ac:dyDescent="0.25">
      <c r="A150">
        <v>147</v>
      </c>
      <c r="B150">
        <v>20362</v>
      </c>
      <c r="C150" t="s">
        <v>590</v>
      </c>
      <c r="D150" t="s">
        <v>343</v>
      </c>
      <c r="E150" t="s">
        <v>591</v>
      </c>
      <c r="F150" t="s">
        <v>345</v>
      </c>
      <c r="G150" t="s">
        <v>18</v>
      </c>
      <c r="H150" t="s">
        <v>592</v>
      </c>
      <c r="I150" t="s">
        <v>593</v>
      </c>
      <c r="J150" t="s">
        <v>21</v>
      </c>
      <c r="K150" s="2">
        <v>53</v>
      </c>
      <c r="L150" s="2" t="str">
        <f>"25.08.24"</f>
        <v>25.08.24</v>
      </c>
    </row>
    <row r="151" spans="1:12" x14ac:dyDescent="0.25">
      <c r="A151">
        <v>148</v>
      </c>
      <c r="B151">
        <v>20363</v>
      </c>
      <c r="C151" t="s">
        <v>594</v>
      </c>
      <c r="D151" t="s">
        <v>35</v>
      </c>
      <c r="E151" t="s">
        <v>595</v>
      </c>
      <c r="F151" t="s">
        <v>37</v>
      </c>
      <c r="G151" t="s">
        <v>18</v>
      </c>
      <c r="H151" t="s">
        <v>112</v>
      </c>
      <c r="I151" t="s">
        <v>27</v>
      </c>
      <c r="J151" t="s">
        <v>21</v>
      </c>
      <c r="K151" s="2">
        <v>48</v>
      </c>
      <c r="L151" s="2" t="str">
        <f>"25.08.25"</f>
        <v>25.08.25</v>
      </c>
    </row>
    <row r="152" spans="1:12" x14ac:dyDescent="0.25">
      <c r="A152">
        <v>149</v>
      </c>
      <c r="B152">
        <v>20372</v>
      </c>
      <c r="C152" t="s">
        <v>46</v>
      </c>
      <c r="D152" t="s">
        <v>343</v>
      </c>
      <c r="E152" t="s">
        <v>48</v>
      </c>
      <c r="F152" t="s">
        <v>345</v>
      </c>
      <c r="G152" t="s">
        <v>18</v>
      </c>
      <c r="H152" t="s">
        <v>226</v>
      </c>
      <c r="I152" t="s">
        <v>227</v>
      </c>
      <c r="J152" t="s">
        <v>86</v>
      </c>
      <c r="K152" s="2">
        <v>55</v>
      </c>
      <c r="L152" s="2" t="str">
        <f>"25.08.24"</f>
        <v>25.08.24</v>
      </c>
    </row>
    <row r="153" spans="1:12" x14ac:dyDescent="0.25">
      <c r="A153">
        <v>150</v>
      </c>
      <c r="B153">
        <v>20380</v>
      </c>
      <c r="C153" t="s">
        <v>596</v>
      </c>
      <c r="D153" t="s">
        <v>597</v>
      </c>
      <c r="E153" t="s">
        <v>598</v>
      </c>
      <c r="F153" t="s">
        <v>599</v>
      </c>
      <c r="G153" t="s">
        <v>18</v>
      </c>
      <c r="H153" t="s">
        <v>57</v>
      </c>
      <c r="I153" t="s">
        <v>58</v>
      </c>
      <c r="J153" t="s">
        <v>21</v>
      </c>
      <c r="K153" s="2">
        <v>56</v>
      </c>
      <c r="L153" s="2" t="str">
        <f>"25.08.21"</f>
        <v>25.08.21</v>
      </c>
    </row>
    <row r="154" spans="1:12" x14ac:dyDescent="0.25">
      <c r="A154">
        <v>151</v>
      </c>
      <c r="B154">
        <v>20381</v>
      </c>
      <c r="C154" t="s">
        <v>600</v>
      </c>
      <c r="D154" t="s">
        <v>199</v>
      </c>
      <c r="E154" t="s">
        <v>601</v>
      </c>
      <c r="F154" t="s">
        <v>201</v>
      </c>
      <c r="G154" t="s">
        <v>18</v>
      </c>
      <c r="H154" t="s">
        <v>143</v>
      </c>
      <c r="I154" t="s">
        <v>144</v>
      </c>
      <c r="J154" t="s">
        <v>21</v>
      </c>
      <c r="K154" s="2">
        <v>48</v>
      </c>
      <c r="L154" s="2" t="str">
        <f>"25.08.21"</f>
        <v>25.08.21</v>
      </c>
    </row>
    <row r="155" spans="1:12" x14ac:dyDescent="0.25">
      <c r="A155">
        <v>152</v>
      </c>
      <c r="B155">
        <v>20382</v>
      </c>
      <c r="C155" t="s">
        <v>596</v>
      </c>
      <c r="D155" t="s">
        <v>445</v>
      </c>
      <c r="E155" t="s">
        <v>598</v>
      </c>
      <c r="F155" t="s">
        <v>447</v>
      </c>
      <c r="G155" t="s">
        <v>18</v>
      </c>
      <c r="H155" t="s">
        <v>127</v>
      </c>
      <c r="I155" t="s">
        <v>128</v>
      </c>
      <c r="J155" t="s">
        <v>21</v>
      </c>
      <c r="K155" s="2">
        <v>50</v>
      </c>
      <c r="L155" s="2" t="str">
        <f>"25.08.19"</f>
        <v>25.08.19</v>
      </c>
    </row>
    <row r="156" spans="1:12" x14ac:dyDescent="0.25">
      <c r="A156">
        <v>153</v>
      </c>
      <c r="B156">
        <v>20385</v>
      </c>
      <c r="C156" t="s">
        <v>602</v>
      </c>
      <c r="D156" t="s">
        <v>603</v>
      </c>
      <c r="E156" t="s">
        <v>604</v>
      </c>
      <c r="F156" t="s">
        <v>605</v>
      </c>
      <c r="G156" t="s">
        <v>18</v>
      </c>
      <c r="H156" t="s">
        <v>574</v>
      </c>
      <c r="I156" t="s">
        <v>575</v>
      </c>
      <c r="J156" t="s">
        <v>21</v>
      </c>
      <c r="K156" s="2">
        <v>59</v>
      </c>
      <c r="L156" s="2" t="str">
        <f>"25.08.11"</f>
        <v>25.08.11</v>
      </c>
    </row>
    <row r="157" spans="1:12" x14ac:dyDescent="0.25">
      <c r="A157">
        <v>154</v>
      </c>
      <c r="B157">
        <v>20387</v>
      </c>
      <c r="C157" t="s">
        <v>594</v>
      </c>
      <c r="D157" t="s">
        <v>606</v>
      </c>
      <c r="E157" t="s">
        <v>595</v>
      </c>
      <c r="F157" t="s">
        <v>607</v>
      </c>
      <c r="G157" t="s">
        <v>18</v>
      </c>
      <c r="H157" t="s">
        <v>161</v>
      </c>
      <c r="I157" t="s">
        <v>162</v>
      </c>
      <c r="J157" t="s">
        <v>21</v>
      </c>
      <c r="K157" s="2">
        <v>57</v>
      </c>
      <c r="L157" s="2" t="str">
        <f>"25.08.11"</f>
        <v>25.08.11</v>
      </c>
    </row>
    <row r="158" spans="1:12" x14ac:dyDescent="0.25">
      <c r="A158">
        <v>155</v>
      </c>
      <c r="B158">
        <v>20389</v>
      </c>
      <c r="C158" t="s">
        <v>472</v>
      </c>
      <c r="D158" t="s">
        <v>335</v>
      </c>
      <c r="E158" t="s">
        <v>473</v>
      </c>
      <c r="F158" t="s">
        <v>337</v>
      </c>
      <c r="G158" t="s">
        <v>18</v>
      </c>
      <c r="H158" t="s">
        <v>97</v>
      </c>
      <c r="I158" t="s">
        <v>39</v>
      </c>
      <c r="J158" t="s">
        <v>21</v>
      </c>
      <c r="K158" s="2">
        <v>51</v>
      </c>
      <c r="L158" s="2" t="str">
        <f>"25.08.15"</f>
        <v>25.08.15</v>
      </c>
    </row>
    <row r="159" spans="1:12" x14ac:dyDescent="0.25">
      <c r="A159">
        <v>156</v>
      </c>
      <c r="B159">
        <v>20390</v>
      </c>
      <c r="C159" t="s">
        <v>472</v>
      </c>
      <c r="D159" t="s">
        <v>608</v>
      </c>
      <c r="E159" t="s">
        <v>473</v>
      </c>
      <c r="F159" t="s">
        <v>609</v>
      </c>
      <c r="G159" t="s">
        <v>18</v>
      </c>
      <c r="H159" t="s">
        <v>610</v>
      </c>
      <c r="I159" t="s">
        <v>611</v>
      </c>
      <c r="J159" t="s">
        <v>21</v>
      </c>
      <c r="K159" s="2">
        <v>52</v>
      </c>
      <c r="L159" s="2" t="str">
        <f>"25.08.12"</f>
        <v>25.08.12</v>
      </c>
    </row>
    <row r="160" spans="1:12" x14ac:dyDescent="0.25">
      <c r="A160">
        <v>157</v>
      </c>
      <c r="B160">
        <v>20393</v>
      </c>
      <c r="C160" t="s">
        <v>153</v>
      </c>
      <c r="D160" t="s">
        <v>180</v>
      </c>
      <c r="E160" t="s">
        <v>155</v>
      </c>
      <c r="F160" t="s">
        <v>182</v>
      </c>
      <c r="G160" t="s">
        <v>18</v>
      </c>
      <c r="H160" t="s">
        <v>612</v>
      </c>
      <c r="I160" t="s">
        <v>613</v>
      </c>
      <c r="J160" t="s">
        <v>86</v>
      </c>
      <c r="K160" s="2">
        <v>51</v>
      </c>
      <c r="L160" s="2" t="str">
        <f>"25.08.11"</f>
        <v>25.08.11</v>
      </c>
    </row>
    <row r="161" spans="1:12" x14ac:dyDescent="0.25">
      <c r="A161">
        <v>158</v>
      </c>
      <c r="B161">
        <v>20395</v>
      </c>
      <c r="C161" t="s">
        <v>614</v>
      </c>
      <c r="D161" t="s">
        <v>199</v>
      </c>
      <c r="E161" t="s">
        <v>615</v>
      </c>
      <c r="F161" t="s">
        <v>201</v>
      </c>
      <c r="G161" t="s">
        <v>18</v>
      </c>
      <c r="H161" t="s">
        <v>68</v>
      </c>
      <c r="I161" t="s">
        <v>69</v>
      </c>
      <c r="J161" t="s">
        <v>21</v>
      </c>
      <c r="K161" s="2">
        <v>51</v>
      </c>
      <c r="L161" s="2" t="str">
        <f>"25.08.11"</f>
        <v>25.08.11</v>
      </c>
    </row>
    <row r="162" spans="1:12" x14ac:dyDescent="0.25">
      <c r="A162">
        <v>159</v>
      </c>
      <c r="B162">
        <v>20397</v>
      </c>
      <c r="C162" t="s">
        <v>616</v>
      </c>
      <c r="D162" t="s">
        <v>217</v>
      </c>
      <c r="E162" t="s">
        <v>617</v>
      </c>
      <c r="F162" t="s">
        <v>219</v>
      </c>
      <c r="G162" t="s">
        <v>18</v>
      </c>
      <c r="H162" t="s">
        <v>618</v>
      </c>
      <c r="I162" t="s">
        <v>27</v>
      </c>
      <c r="J162" t="s">
        <v>21</v>
      </c>
      <c r="K162" s="2">
        <v>53</v>
      </c>
      <c r="L162" s="2" t="str">
        <f>"25.07.29"</f>
        <v>25.07.29</v>
      </c>
    </row>
    <row r="163" spans="1:12" x14ac:dyDescent="0.25">
      <c r="A163">
        <v>160</v>
      </c>
      <c r="B163">
        <v>20402</v>
      </c>
      <c r="C163" t="s">
        <v>619</v>
      </c>
      <c r="D163" t="s">
        <v>620</v>
      </c>
      <c r="E163" t="s">
        <v>621</v>
      </c>
      <c r="F163" t="s">
        <v>622</v>
      </c>
      <c r="G163" t="s">
        <v>56</v>
      </c>
      <c r="H163" t="s">
        <v>382</v>
      </c>
      <c r="I163" t="s">
        <v>383</v>
      </c>
      <c r="J163" t="s">
        <v>21</v>
      </c>
      <c r="K163" s="2">
        <v>60</v>
      </c>
      <c r="L163" s="2" t="str">
        <f>"25.08.07"</f>
        <v>25.08.07</v>
      </c>
    </row>
    <row r="164" spans="1:12" x14ac:dyDescent="0.25">
      <c r="A164">
        <v>161</v>
      </c>
      <c r="B164">
        <v>20431</v>
      </c>
      <c r="C164" t="s">
        <v>623</v>
      </c>
      <c r="D164" t="s">
        <v>624</v>
      </c>
      <c r="E164" t="s">
        <v>625</v>
      </c>
      <c r="F164" t="s">
        <v>626</v>
      </c>
      <c r="G164" t="s">
        <v>56</v>
      </c>
      <c r="H164" t="s">
        <v>627</v>
      </c>
      <c r="I164" t="s">
        <v>628</v>
      </c>
      <c r="J164" t="s">
        <v>21</v>
      </c>
      <c r="K164" s="2">
        <v>61</v>
      </c>
      <c r="L164" s="2" t="str">
        <f>"25.02.07"</f>
        <v>25.02.07</v>
      </c>
    </row>
    <row r="165" spans="1:12" x14ac:dyDescent="0.25">
      <c r="A165">
        <v>162</v>
      </c>
      <c r="B165">
        <v>20439</v>
      </c>
      <c r="C165" t="s">
        <v>629</v>
      </c>
      <c r="D165" t="s">
        <v>199</v>
      </c>
      <c r="E165" t="s">
        <v>630</v>
      </c>
      <c r="F165" t="s">
        <v>201</v>
      </c>
      <c r="G165" t="s">
        <v>18</v>
      </c>
      <c r="H165" t="s">
        <v>495</v>
      </c>
      <c r="I165" t="s">
        <v>496</v>
      </c>
      <c r="J165" t="s">
        <v>21</v>
      </c>
      <c r="K165" s="2">
        <v>46</v>
      </c>
      <c r="L165" s="2" t="str">
        <f>"25.00.06"</f>
        <v>25.00.06</v>
      </c>
    </row>
    <row r="166" spans="1:12" x14ac:dyDescent="0.25">
      <c r="A166">
        <v>163</v>
      </c>
      <c r="B166">
        <v>20443</v>
      </c>
      <c r="C166" t="s">
        <v>631</v>
      </c>
      <c r="D166" t="s">
        <v>146</v>
      </c>
      <c r="E166" t="s">
        <v>632</v>
      </c>
      <c r="F166" t="s">
        <v>148</v>
      </c>
      <c r="G166" t="s">
        <v>18</v>
      </c>
      <c r="H166" t="s">
        <v>226</v>
      </c>
      <c r="I166" t="s">
        <v>227</v>
      </c>
      <c r="J166" t="s">
        <v>86</v>
      </c>
      <c r="K166" s="2">
        <v>52</v>
      </c>
      <c r="L166" s="2" t="str">
        <f>"24.07.17"</f>
        <v>24.07.17</v>
      </c>
    </row>
    <row r="167" spans="1:12" x14ac:dyDescent="0.25">
      <c r="A167">
        <v>164</v>
      </c>
      <c r="B167">
        <v>20445</v>
      </c>
      <c r="C167" t="s">
        <v>633</v>
      </c>
      <c r="D167" t="s">
        <v>47</v>
      </c>
      <c r="E167" t="s">
        <v>634</v>
      </c>
      <c r="F167" t="s">
        <v>49</v>
      </c>
      <c r="G167" t="s">
        <v>18</v>
      </c>
      <c r="H167" t="s">
        <v>112</v>
      </c>
      <c r="I167" t="s">
        <v>51</v>
      </c>
      <c r="J167" t="s">
        <v>21</v>
      </c>
      <c r="K167" s="2">
        <v>47</v>
      </c>
      <c r="L167" s="2" t="str">
        <f>"25.10.15"</f>
        <v>25.10.15</v>
      </c>
    </row>
    <row r="168" spans="1:12" x14ac:dyDescent="0.25">
      <c r="A168">
        <v>165</v>
      </c>
      <c r="B168">
        <v>20447</v>
      </c>
      <c r="C168" t="s">
        <v>635</v>
      </c>
      <c r="D168" t="s">
        <v>636</v>
      </c>
      <c r="E168" t="s">
        <v>637</v>
      </c>
      <c r="F168" t="s">
        <v>638</v>
      </c>
      <c r="G168" t="s">
        <v>18</v>
      </c>
      <c r="H168" t="s">
        <v>214</v>
      </c>
      <c r="I168" t="s">
        <v>215</v>
      </c>
      <c r="J168" t="s">
        <v>21</v>
      </c>
      <c r="K168" s="2">
        <v>53</v>
      </c>
      <c r="L168" s="2" t="str">
        <f>"25.10.15"</f>
        <v>25.10.15</v>
      </c>
    </row>
    <row r="169" spans="1:12" x14ac:dyDescent="0.25">
      <c r="A169">
        <v>166</v>
      </c>
      <c r="B169">
        <v>20448</v>
      </c>
      <c r="C169" t="s">
        <v>639</v>
      </c>
      <c r="D169" t="s">
        <v>99</v>
      </c>
      <c r="E169" t="s">
        <v>640</v>
      </c>
      <c r="F169" t="s">
        <v>101</v>
      </c>
      <c r="G169" t="s">
        <v>18</v>
      </c>
      <c r="H169" t="s">
        <v>214</v>
      </c>
      <c r="I169" t="s">
        <v>215</v>
      </c>
      <c r="J169" t="s">
        <v>21</v>
      </c>
      <c r="K169" s="2">
        <v>57</v>
      </c>
      <c r="L169" s="2" t="str">
        <f>"25.10.15"</f>
        <v>25.10.15</v>
      </c>
    </row>
    <row r="170" spans="1:12" x14ac:dyDescent="0.25">
      <c r="A170">
        <v>167</v>
      </c>
      <c r="B170">
        <v>20449</v>
      </c>
      <c r="C170" t="s">
        <v>358</v>
      </c>
      <c r="D170" t="s">
        <v>217</v>
      </c>
      <c r="E170" t="s">
        <v>360</v>
      </c>
      <c r="F170" t="s">
        <v>219</v>
      </c>
      <c r="G170" t="s">
        <v>18</v>
      </c>
      <c r="H170" t="s">
        <v>97</v>
      </c>
      <c r="I170" t="s">
        <v>39</v>
      </c>
      <c r="J170" t="s">
        <v>21</v>
      </c>
      <c r="K170" s="2">
        <v>48</v>
      </c>
      <c r="L170" s="2" t="str">
        <f>"25.04.15"</f>
        <v>25.04.15</v>
      </c>
    </row>
    <row r="171" spans="1:12" x14ac:dyDescent="0.25">
      <c r="A171">
        <v>168</v>
      </c>
      <c r="B171">
        <v>20451</v>
      </c>
      <c r="C171" t="s">
        <v>641</v>
      </c>
      <c r="D171" t="s">
        <v>188</v>
      </c>
      <c r="E171" t="s">
        <v>642</v>
      </c>
      <c r="F171" t="s">
        <v>190</v>
      </c>
      <c r="G171" t="s">
        <v>18</v>
      </c>
      <c r="H171" t="s">
        <v>106</v>
      </c>
      <c r="I171" t="s">
        <v>107</v>
      </c>
      <c r="J171" t="s">
        <v>21</v>
      </c>
      <c r="K171" s="2">
        <v>49</v>
      </c>
      <c r="L171" s="2" t="str">
        <f>"25.04.09"</f>
        <v>25.04.09</v>
      </c>
    </row>
    <row r="172" spans="1:12" x14ac:dyDescent="0.25">
      <c r="A172">
        <v>169</v>
      </c>
      <c r="B172">
        <v>20453</v>
      </c>
      <c r="C172" t="s">
        <v>643</v>
      </c>
      <c r="D172" t="s">
        <v>146</v>
      </c>
      <c r="E172" t="s">
        <v>644</v>
      </c>
      <c r="F172" t="s">
        <v>148</v>
      </c>
      <c r="G172" t="s">
        <v>18</v>
      </c>
      <c r="H172" t="s">
        <v>137</v>
      </c>
      <c r="I172" t="s">
        <v>138</v>
      </c>
      <c r="J172" t="s">
        <v>21</v>
      </c>
      <c r="K172" s="2">
        <v>47</v>
      </c>
      <c r="L172" s="2" t="str">
        <f>"25.04.09"</f>
        <v>25.04.09</v>
      </c>
    </row>
    <row r="173" spans="1:12" x14ac:dyDescent="0.25">
      <c r="A173">
        <v>170</v>
      </c>
      <c r="B173">
        <v>20454</v>
      </c>
      <c r="C173" t="s">
        <v>645</v>
      </c>
      <c r="D173" t="s">
        <v>199</v>
      </c>
      <c r="E173" t="s">
        <v>646</v>
      </c>
      <c r="F173" t="s">
        <v>201</v>
      </c>
      <c r="G173" t="s">
        <v>18</v>
      </c>
      <c r="H173" t="s">
        <v>137</v>
      </c>
      <c r="I173" t="s">
        <v>138</v>
      </c>
      <c r="J173" t="s">
        <v>21</v>
      </c>
      <c r="K173" s="2">
        <v>51</v>
      </c>
      <c r="L173" s="2" t="str">
        <f>"25.04.12"</f>
        <v>25.04.12</v>
      </c>
    </row>
    <row r="174" spans="1:12" x14ac:dyDescent="0.25">
      <c r="A174">
        <v>171</v>
      </c>
      <c r="B174">
        <v>20459</v>
      </c>
      <c r="C174" t="s">
        <v>133</v>
      </c>
      <c r="D174" t="s">
        <v>35</v>
      </c>
      <c r="E174" t="s">
        <v>135</v>
      </c>
      <c r="F174" t="s">
        <v>37</v>
      </c>
      <c r="G174" t="s">
        <v>18</v>
      </c>
      <c r="H174" t="s">
        <v>97</v>
      </c>
      <c r="I174" t="s">
        <v>39</v>
      </c>
      <c r="J174" t="s">
        <v>21</v>
      </c>
      <c r="K174" s="2">
        <v>44</v>
      </c>
      <c r="L174" s="2" t="str">
        <f>"23.06.00"</f>
        <v>23.06.00</v>
      </c>
    </row>
    <row r="175" spans="1:12" x14ac:dyDescent="0.25">
      <c r="A175">
        <v>172</v>
      </c>
      <c r="B175">
        <v>20466</v>
      </c>
      <c r="C175" t="s">
        <v>647</v>
      </c>
      <c r="D175" t="s">
        <v>648</v>
      </c>
      <c r="E175" t="s">
        <v>649</v>
      </c>
      <c r="F175" t="s">
        <v>650</v>
      </c>
      <c r="G175" t="s">
        <v>18</v>
      </c>
      <c r="H175" t="s">
        <v>618</v>
      </c>
      <c r="I175" t="s">
        <v>27</v>
      </c>
      <c r="J175" t="s">
        <v>21</v>
      </c>
      <c r="K175" s="2">
        <v>63</v>
      </c>
      <c r="L175" s="2" t="str">
        <f>"25.10.22"</f>
        <v>25.10.22</v>
      </c>
    </row>
    <row r="176" spans="1:12" x14ac:dyDescent="0.25">
      <c r="A176">
        <v>173</v>
      </c>
      <c r="B176">
        <v>20468</v>
      </c>
      <c r="C176" t="s">
        <v>651</v>
      </c>
      <c r="D176" t="s">
        <v>652</v>
      </c>
      <c r="E176" t="s">
        <v>653</v>
      </c>
      <c r="F176" t="s">
        <v>654</v>
      </c>
      <c r="G176" t="s">
        <v>18</v>
      </c>
      <c r="H176" t="s">
        <v>655</v>
      </c>
      <c r="I176" t="s">
        <v>656</v>
      </c>
      <c r="J176" t="s">
        <v>21</v>
      </c>
      <c r="K176" s="2">
        <v>56</v>
      </c>
      <c r="L176" s="2" t="str">
        <f>"25.04.11"</f>
        <v>25.04.11</v>
      </c>
    </row>
    <row r="177" spans="1:12" x14ac:dyDescent="0.25">
      <c r="A177">
        <v>174</v>
      </c>
      <c r="B177">
        <v>20471</v>
      </c>
      <c r="C177" t="s">
        <v>40</v>
      </c>
      <c r="D177" t="s">
        <v>439</v>
      </c>
      <c r="E177" t="s">
        <v>42</v>
      </c>
      <c r="F177" t="s">
        <v>441</v>
      </c>
      <c r="G177" t="s">
        <v>18</v>
      </c>
      <c r="H177" t="s">
        <v>57</v>
      </c>
      <c r="I177" t="s">
        <v>58</v>
      </c>
      <c r="J177" t="s">
        <v>21</v>
      </c>
      <c r="K177" s="2">
        <v>56</v>
      </c>
      <c r="L177" s="2" t="str">
        <f>"23.11.29"</f>
        <v>23.11.29</v>
      </c>
    </row>
    <row r="178" spans="1:12" x14ac:dyDescent="0.25">
      <c r="A178">
        <v>175</v>
      </c>
      <c r="B178">
        <v>20475</v>
      </c>
      <c r="C178" t="s">
        <v>252</v>
      </c>
      <c r="D178" t="s">
        <v>180</v>
      </c>
      <c r="E178" t="s">
        <v>254</v>
      </c>
      <c r="F178" t="s">
        <v>182</v>
      </c>
      <c r="G178" t="s">
        <v>18</v>
      </c>
      <c r="H178" t="s">
        <v>657</v>
      </c>
      <c r="I178" t="s">
        <v>658</v>
      </c>
      <c r="J178" t="s">
        <v>86</v>
      </c>
      <c r="K178" s="2">
        <v>51</v>
      </c>
      <c r="L178" s="2" t="str">
        <f>"23.01.05"</f>
        <v>23.01.05</v>
      </c>
    </row>
    <row r="179" spans="1:12" x14ac:dyDescent="0.25">
      <c r="A179">
        <v>176</v>
      </c>
      <c r="B179">
        <v>20478</v>
      </c>
      <c r="C179" t="s">
        <v>659</v>
      </c>
      <c r="D179" t="s">
        <v>154</v>
      </c>
      <c r="E179" t="s">
        <v>660</v>
      </c>
      <c r="F179" t="s">
        <v>156</v>
      </c>
      <c r="G179" t="s">
        <v>18</v>
      </c>
      <c r="H179" t="s">
        <v>661</v>
      </c>
      <c r="I179" t="s">
        <v>662</v>
      </c>
      <c r="J179" t="s">
        <v>86</v>
      </c>
      <c r="K179" s="2">
        <v>43</v>
      </c>
      <c r="L179" s="2" t="str">
        <f>"22.11.23"</f>
        <v>22.11.23</v>
      </c>
    </row>
    <row r="180" spans="1:12" x14ac:dyDescent="0.25">
      <c r="A180">
        <v>177</v>
      </c>
      <c r="B180">
        <v>20489</v>
      </c>
      <c r="C180" t="s">
        <v>663</v>
      </c>
      <c r="D180" t="s">
        <v>664</v>
      </c>
      <c r="E180" t="s">
        <v>665</v>
      </c>
      <c r="F180" t="s">
        <v>666</v>
      </c>
      <c r="G180" t="s">
        <v>18</v>
      </c>
      <c r="H180" t="s">
        <v>284</v>
      </c>
      <c r="I180" t="s">
        <v>285</v>
      </c>
      <c r="J180" t="s">
        <v>21</v>
      </c>
      <c r="K180" s="2">
        <v>52</v>
      </c>
      <c r="L180" s="2" t="str">
        <f>"08.03.24"</f>
        <v>08.03.24</v>
      </c>
    </row>
    <row r="181" spans="1:12" x14ac:dyDescent="0.25">
      <c r="A181">
        <v>178</v>
      </c>
      <c r="B181">
        <v>20511</v>
      </c>
      <c r="C181" t="s">
        <v>667</v>
      </c>
      <c r="D181" t="s">
        <v>544</v>
      </c>
      <c r="E181" t="s">
        <v>668</v>
      </c>
      <c r="F181" t="s">
        <v>546</v>
      </c>
      <c r="G181" t="s">
        <v>18</v>
      </c>
      <c r="H181" t="s">
        <v>669</v>
      </c>
      <c r="I181" t="s">
        <v>670</v>
      </c>
      <c r="J181" t="s">
        <v>86</v>
      </c>
      <c r="K181" s="2">
        <v>61</v>
      </c>
      <c r="L181" s="2" t="str">
        <f>"25.07.11"</f>
        <v>25.07.11</v>
      </c>
    </row>
    <row r="182" spans="1:12" x14ac:dyDescent="0.25">
      <c r="A182">
        <v>179</v>
      </c>
      <c r="B182">
        <v>20518</v>
      </c>
      <c r="C182" t="s">
        <v>671</v>
      </c>
      <c r="D182" t="s">
        <v>620</v>
      </c>
      <c r="E182" t="s">
        <v>672</v>
      </c>
      <c r="F182" t="s">
        <v>622</v>
      </c>
      <c r="G182" t="s">
        <v>56</v>
      </c>
      <c r="H182" t="s">
        <v>563</v>
      </c>
      <c r="I182" t="s">
        <v>564</v>
      </c>
      <c r="J182" t="s">
        <v>86</v>
      </c>
      <c r="K182" s="2">
        <v>53</v>
      </c>
      <c r="L182" s="2" t="str">
        <f>"23.01.12"</f>
        <v>23.01.12</v>
      </c>
    </row>
    <row r="183" spans="1:12" x14ac:dyDescent="0.25">
      <c r="A183">
        <v>180</v>
      </c>
      <c r="B183">
        <v>20521</v>
      </c>
      <c r="C183" t="s">
        <v>673</v>
      </c>
      <c r="D183" t="s">
        <v>674</v>
      </c>
      <c r="E183" t="s">
        <v>675</v>
      </c>
      <c r="F183" t="s">
        <v>676</v>
      </c>
      <c r="G183" t="s">
        <v>56</v>
      </c>
      <c r="H183" t="s">
        <v>677</v>
      </c>
      <c r="I183" t="s">
        <v>678</v>
      </c>
      <c r="J183" t="s">
        <v>63</v>
      </c>
      <c r="K183" s="2">
        <v>60</v>
      </c>
      <c r="L183" s="2" t="str">
        <f>"21.06.15"</f>
        <v>21.06.15</v>
      </c>
    </row>
    <row r="184" spans="1:12" x14ac:dyDescent="0.25">
      <c r="A184">
        <v>181</v>
      </c>
      <c r="B184">
        <v>20523</v>
      </c>
      <c r="C184" t="s">
        <v>679</v>
      </c>
      <c r="D184" t="s">
        <v>680</v>
      </c>
      <c r="E184" t="s">
        <v>681</v>
      </c>
      <c r="F184" t="s">
        <v>682</v>
      </c>
      <c r="G184" t="s">
        <v>56</v>
      </c>
      <c r="H184" t="s">
        <v>683</v>
      </c>
      <c r="I184" t="s">
        <v>684</v>
      </c>
      <c r="J184" t="s">
        <v>21</v>
      </c>
      <c r="K184" s="2">
        <v>59</v>
      </c>
      <c r="L184" s="2" t="str">
        <f>"22.06.03"</f>
        <v>22.06.03</v>
      </c>
    </row>
    <row r="185" spans="1:12" x14ac:dyDescent="0.25">
      <c r="A185">
        <v>182</v>
      </c>
      <c r="B185">
        <v>20527</v>
      </c>
      <c r="C185" t="s">
        <v>685</v>
      </c>
      <c r="D185" t="s">
        <v>686</v>
      </c>
      <c r="E185" t="s">
        <v>687</v>
      </c>
      <c r="F185" t="s">
        <v>688</v>
      </c>
      <c r="G185" t="s">
        <v>18</v>
      </c>
      <c r="H185" t="s">
        <v>689</v>
      </c>
      <c r="I185" t="s">
        <v>690</v>
      </c>
      <c r="J185" t="s">
        <v>86</v>
      </c>
      <c r="K185" s="2">
        <v>53</v>
      </c>
      <c r="L185" s="2" t="str">
        <f>"18.08.22"</f>
        <v>18.08.22</v>
      </c>
    </row>
    <row r="186" spans="1:12" x14ac:dyDescent="0.25">
      <c r="A186">
        <v>183</v>
      </c>
      <c r="B186">
        <v>20530</v>
      </c>
      <c r="C186" t="s">
        <v>691</v>
      </c>
      <c r="D186" t="s">
        <v>269</v>
      </c>
      <c r="E186" t="s">
        <v>692</v>
      </c>
      <c r="F186" t="s">
        <v>271</v>
      </c>
      <c r="G186" t="s">
        <v>18</v>
      </c>
      <c r="H186" t="s">
        <v>693</v>
      </c>
      <c r="I186" t="s">
        <v>694</v>
      </c>
      <c r="J186" t="s">
        <v>86</v>
      </c>
      <c r="K186" s="2">
        <v>49</v>
      </c>
      <c r="L186" s="2" t="str">
        <f>"18.01.07"</f>
        <v>18.01.07</v>
      </c>
    </row>
    <row r="187" spans="1:12" x14ac:dyDescent="0.25">
      <c r="A187">
        <v>184</v>
      </c>
      <c r="B187">
        <v>20603</v>
      </c>
      <c r="C187" t="s">
        <v>465</v>
      </c>
      <c r="D187" t="s">
        <v>94</v>
      </c>
      <c r="E187" t="s">
        <v>466</v>
      </c>
      <c r="F187" t="s">
        <v>96</v>
      </c>
      <c r="G187" t="s">
        <v>18</v>
      </c>
      <c r="H187" t="s">
        <v>695</v>
      </c>
      <c r="I187" t="s">
        <v>696</v>
      </c>
      <c r="J187" t="s">
        <v>86</v>
      </c>
      <c r="K187" s="2">
        <v>50</v>
      </c>
      <c r="L187" s="2" t="str">
        <f>"19.10.23"</f>
        <v>19.10.23</v>
      </c>
    </row>
    <row r="188" spans="1:12" x14ac:dyDescent="0.25">
      <c r="A188">
        <v>185</v>
      </c>
      <c r="B188">
        <v>20621</v>
      </c>
      <c r="C188" t="s">
        <v>697</v>
      </c>
      <c r="D188" t="s">
        <v>698</v>
      </c>
      <c r="E188" t="s">
        <v>699</v>
      </c>
      <c r="F188" t="s">
        <v>700</v>
      </c>
      <c r="G188" t="s">
        <v>56</v>
      </c>
      <c r="H188" t="s">
        <v>701</v>
      </c>
      <c r="I188" t="s">
        <v>702</v>
      </c>
      <c r="J188" t="s">
        <v>86</v>
      </c>
      <c r="K188" s="2">
        <v>56</v>
      </c>
      <c r="L188" s="2" t="str">
        <f>"19.07.01"</f>
        <v>19.07.01</v>
      </c>
    </row>
    <row r="189" spans="1:12" x14ac:dyDescent="0.25">
      <c r="A189">
        <v>186</v>
      </c>
      <c r="B189">
        <v>20623</v>
      </c>
      <c r="C189" t="s">
        <v>703</v>
      </c>
      <c r="D189" t="s">
        <v>704</v>
      </c>
      <c r="E189" t="s">
        <v>705</v>
      </c>
      <c r="F189" t="s">
        <v>676</v>
      </c>
      <c r="G189" t="s">
        <v>56</v>
      </c>
      <c r="H189" t="s">
        <v>706</v>
      </c>
      <c r="I189" t="s">
        <v>707</v>
      </c>
      <c r="J189" t="s">
        <v>86</v>
      </c>
      <c r="K189" s="2">
        <v>45</v>
      </c>
      <c r="L189" s="2" t="str">
        <f>"18.02.28"</f>
        <v>18.02.28</v>
      </c>
    </row>
    <row r="190" spans="1:12" x14ac:dyDescent="0.25">
      <c r="A190">
        <v>187</v>
      </c>
      <c r="B190">
        <v>20625</v>
      </c>
      <c r="C190" t="s">
        <v>708</v>
      </c>
      <c r="D190" t="s">
        <v>709</v>
      </c>
      <c r="E190" t="s">
        <v>710</v>
      </c>
      <c r="F190" t="s">
        <v>711</v>
      </c>
      <c r="G190" t="s">
        <v>18</v>
      </c>
      <c r="H190" t="s">
        <v>563</v>
      </c>
      <c r="I190" t="s">
        <v>564</v>
      </c>
      <c r="J190" t="s">
        <v>86</v>
      </c>
      <c r="K190" s="2">
        <v>53</v>
      </c>
      <c r="L190" s="2" t="str">
        <f>"18.10.05"</f>
        <v>18.10.05</v>
      </c>
    </row>
    <row r="191" spans="1:12" x14ac:dyDescent="0.25">
      <c r="A191">
        <v>188</v>
      </c>
      <c r="B191">
        <v>20632</v>
      </c>
      <c r="C191" t="s">
        <v>712</v>
      </c>
      <c r="D191" t="s">
        <v>35</v>
      </c>
      <c r="E191" t="s">
        <v>713</v>
      </c>
      <c r="F191" t="s">
        <v>37</v>
      </c>
      <c r="G191" t="s">
        <v>18</v>
      </c>
      <c r="H191" t="s">
        <v>714</v>
      </c>
      <c r="I191" t="s">
        <v>715</v>
      </c>
      <c r="J191" t="s">
        <v>86</v>
      </c>
      <c r="K191" s="2">
        <v>46</v>
      </c>
      <c r="L191" s="2" t="str">
        <f>"18.08.22"</f>
        <v>18.08.22</v>
      </c>
    </row>
    <row r="192" spans="1:12" x14ac:dyDescent="0.25">
      <c r="A192">
        <v>189</v>
      </c>
      <c r="B192">
        <v>20636</v>
      </c>
      <c r="C192" t="s">
        <v>716</v>
      </c>
      <c r="D192" t="s">
        <v>717</v>
      </c>
      <c r="E192" t="s">
        <v>718</v>
      </c>
      <c r="F192" t="s">
        <v>719</v>
      </c>
      <c r="G192" t="s">
        <v>56</v>
      </c>
      <c r="H192" t="s">
        <v>340</v>
      </c>
      <c r="I192" t="s">
        <v>341</v>
      </c>
      <c r="J192" t="s">
        <v>86</v>
      </c>
      <c r="K192" s="2">
        <v>52</v>
      </c>
      <c r="L192" s="2" t="str">
        <f>"18.08.24"</f>
        <v>18.08.24</v>
      </c>
    </row>
    <row r="193" spans="1:12" x14ac:dyDescent="0.25">
      <c r="A193">
        <v>190</v>
      </c>
      <c r="B193">
        <v>20637</v>
      </c>
      <c r="C193" t="s">
        <v>720</v>
      </c>
      <c r="D193" t="s">
        <v>146</v>
      </c>
      <c r="E193" t="s">
        <v>721</v>
      </c>
      <c r="F193" t="s">
        <v>148</v>
      </c>
      <c r="G193" t="s">
        <v>18</v>
      </c>
      <c r="H193" t="s">
        <v>722</v>
      </c>
      <c r="I193" t="s">
        <v>723</v>
      </c>
      <c r="J193" t="s">
        <v>86</v>
      </c>
      <c r="K193" s="2">
        <v>49</v>
      </c>
      <c r="L193" s="2" t="str">
        <f>"18.08.22"</f>
        <v>18.08.22</v>
      </c>
    </row>
    <row r="194" spans="1:12" x14ac:dyDescent="0.25">
      <c r="A194">
        <v>191</v>
      </c>
      <c r="B194">
        <v>20638</v>
      </c>
      <c r="C194" t="s">
        <v>724</v>
      </c>
      <c r="D194" t="s">
        <v>674</v>
      </c>
      <c r="E194" t="s">
        <v>725</v>
      </c>
      <c r="F194" t="s">
        <v>676</v>
      </c>
      <c r="G194" t="s">
        <v>56</v>
      </c>
      <c r="H194" t="s">
        <v>726</v>
      </c>
      <c r="I194" t="s">
        <v>727</v>
      </c>
      <c r="J194" t="s">
        <v>86</v>
      </c>
      <c r="K194" s="2">
        <v>49</v>
      </c>
      <c r="L194" s="2" t="str">
        <f>"18.08.22"</f>
        <v>18.08.22</v>
      </c>
    </row>
    <row r="195" spans="1:12" x14ac:dyDescent="0.25">
      <c r="A195">
        <v>192</v>
      </c>
      <c r="B195">
        <v>20640</v>
      </c>
      <c r="C195" t="s">
        <v>139</v>
      </c>
      <c r="D195" t="s">
        <v>411</v>
      </c>
      <c r="E195" t="s">
        <v>141</v>
      </c>
      <c r="F195" t="s">
        <v>413</v>
      </c>
      <c r="G195" t="s">
        <v>18</v>
      </c>
      <c r="H195" t="s">
        <v>728</v>
      </c>
      <c r="I195" t="s">
        <v>729</v>
      </c>
      <c r="J195" t="s">
        <v>86</v>
      </c>
      <c r="K195" s="2">
        <v>48</v>
      </c>
      <c r="L195" s="2" t="str">
        <f>"16.05.08"</f>
        <v>16.05.08</v>
      </c>
    </row>
    <row r="196" spans="1:12" x14ac:dyDescent="0.25">
      <c r="A196">
        <v>193</v>
      </c>
      <c r="B196">
        <v>20650</v>
      </c>
      <c r="C196" t="s">
        <v>730</v>
      </c>
      <c r="D196" t="s">
        <v>731</v>
      </c>
      <c r="E196" t="s">
        <v>732</v>
      </c>
      <c r="F196" t="s">
        <v>733</v>
      </c>
      <c r="G196" t="s">
        <v>56</v>
      </c>
      <c r="H196" t="s">
        <v>734</v>
      </c>
      <c r="I196" t="s">
        <v>735</v>
      </c>
      <c r="J196" t="s">
        <v>86</v>
      </c>
      <c r="K196" s="2">
        <v>46</v>
      </c>
      <c r="L196" s="2" t="str">
        <f>"16.07.14"</f>
        <v>16.07.14</v>
      </c>
    </row>
    <row r="197" spans="1:12" x14ac:dyDescent="0.25">
      <c r="A197">
        <v>194</v>
      </c>
      <c r="B197">
        <v>20652</v>
      </c>
      <c r="C197" t="s">
        <v>736</v>
      </c>
      <c r="D197" t="s">
        <v>71</v>
      </c>
      <c r="E197" t="s">
        <v>737</v>
      </c>
      <c r="F197" t="s">
        <v>73</v>
      </c>
      <c r="G197" t="s">
        <v>18</v>
      </c>
      <c r="H197" t="s">
        <v>738</v>
      </c>
      <c r="I197" t="s">
        <v>739</v>
      </c>
      <c r="J197" t="s">
        <v>86</v>
      </c>
      <c r="K197" s="2">
        <v>48</v>
      </c>
      <c r="L197" s="2" t="str">
        <f>"18.01.10"</f>
        <v>18.01.10</v>
      </c>
    </row>
    <row r="198" spans="1:12" x14ac:dyDescent="0.25">
      <c r="A198">
        <v>195</v>
      </c>
      <c r="B198">
        <v>20662</v>
      </c>
      <c r="C198" t="s">
        <v>740</v>
      </c>
      <c r="D198" t="s">
        <v>510</v>
      </c>
      <c r="E198" t="s">
        <v>741</v>
      </c>
      <c r="F198" t="s">
        <v>512</v>
      </c>
      <c r="G198" t="s">
        <v>18</v>
      </c>
      <c r="H198" t="s">
        <v>742</v>
      </c>
      <c r="I198" t="s">
        <v>743</v>
      </c>
      <c r="J198" t="s">
        <v>86</v>
      </c>
      <c r="K198" s="2">
        <v>49</v>
      </c>
      <c r="L198" s="2" t="str">
        <f>"17.09.11"</f>
        <v>17.09.11</v>
      </c>
    </row>
    <row r="199" spans="1:12" x14ac:dyDescent="0.25">
      <c r="A199">
        <v>196</v>
      </c>
      <c r="B199">
        <v>20675</v>
      </c>
      <c r="C199" t="s">
        <v>191</v>
      </c>
      <c r="D199" t="s">
        <v>199</v>
      </c>
      <c r="E199" t="s">
        <v>192</v>
      </c>
      <c r="F199" t="s">
        <v>201</v>
      </c>
      <c r="G199" t="s">
        <v>18</v>
      </c>
      <c r="H199" t="s">
        <v>744</v>
      </c>
      <c r="I199" t="s">
        <v>745</v>
      </c>
      <c r="J199" t="s">
        <v>86</v>
      </c>
      <c r="K199" s="2">
        <v>41</v>
      </c>
      <c r="L199" s="2" t="str">
        <f>"17.05.00"</f>
        <v>17.05.00</v>
      </c>
    </row>
    <row r="200" spans="1:12" x14ac:dyDescent="0.25">
      <c r="A200">
        <v>197</v>
      </c>
      <c r="B200">
        <v>20678</v>
      </c>
      <c r="C200" t="s">
        <v>746</v>
      </c>
      <c r="D200" t="s">
        <v>377</v>
      </c>
      <c r="E200" t="s">
        <v>747</v>
      </c>
      <c r="F200" t="s">
        <v>379</v>
      </c>
      <c r="G200" t="s">
        <v>18</v>
      </c>
      <c r="H200" t="s">
        <v>226</v>
      </c>
      <c r="I200" t="s">
        <v>227</v>
      </c>
      <c r="J200" t="s">
        <v>86</v>
      </c>
      <c r="K200" s="2">
        <v>43</v>
      </c>
      <c r="L200" s="2" t="str">
        <f>"17.04.19"</f>
        <v>17.04.19</v>
      </c>
    </row>
    <row r="201" spans="1:12" x14ac:dyDescent="0.25">
      <c r="A201">
        <v>198</v>
      </c>
      <c r="B201">
        <v>20685</v>
      </c>
      <c r="C201" t="s">
        <v>748</v>
      </c>
      <c r="D201" t="s">
        <v>245</v>
      </c>
      <c r="E201" t="s">
        <v>749</v>
      </c>
      <c r="F201" t="s">
        <v>247</v>
      </c>
      <c r="G201" t="s">
        <v>18</v>
      </c>
      <c r="H201" t="s">
        <v>750</v>
      </c>
      <c r="I201" t="s">
        <v>751</v>
      </c>
      <c r="J201" t="s">
        <v>86</v>
      </c>
      <c r="K201" s="2">
        <v>46</v>
      </c>
      <c r="L201" s="2" t="str">
        <f>"17.02.27"</f>
        <v>17.02.27</v>
      </c>
    </row>
    <row r="202" spans="1:12" x14ac:dyDescent="0.25">
      <c r="A202">
        <v>199</v>
      </c>
      <c r="B202">
        <v>20694</v>
      </c>
      <c r="C202" t="s">
        <v>752</v>
      </c>
      <c r="D202" t="s">
        <v>753</v>
      </c>
      <c r="E202" t="s">
        <v>754</v>
      </c>
      <c r="F202" t="s">
        <v>755</v>
      </c>
      <c r="G202" t="s">
        <v>18</v>
      </c>
      <c r="H202" t="s">
        <v>531</v>
      </c>
      <c r="I202" t="s">
        <v>532</v>
      </c>
      <c r="J202" t="s">
        <v>21</v>
      </c>
      <c r="K202" s="2">
        <v>57</v>
      </c>
      <c r="L202" s="2" t="str">
        <f>"25.10.22"</f>
        <v>25.10.22</v>
      </c>
    </row>
    <row r="203" spans="1:12" x14ac:dyDescent="0.25">
      <c r="A203">
        <v>200</v>
      </c>
      <c r="B203">
        <v>20695</v>
      </c>
      <c r="C203" t="s">
        <v>756</v>
      </c>
      <c r="D203" t="s">
        <v>146</v>
      </c>
      <c r="E203" t="s">
        <v>757</v>
      </c>
      <c r="F203" t="s">
        <v>148</v>
      </c>
      <c r="G203" t="s">
        <v>18</v>
      </c>
      <c r="H203" t="s">
        <v>127</v>
      </c>
      <c r="I203" t="s">
        <v>128</v>
      </c>
      <c r="J203" t="s">
        <v>21</v>
      </c>
      <c r="K203" s="2">
        <v>46</v>
      </c>
      <c r="L203" s="2" t="str">
        <f>"25.10.22"</f>
        <v>25.10.22</v>
      </c>
    </row>
    <row r="204" spans="1:12" x14ac:dyDescent="0.25">
      <c r="A204">
        <v>201</v>
      </c>
      <c r="B204">
        <v>20707</v>
      </c>
      <c r="C204" t="s">
        <v>280</v>
      </c>
      <c r="D204" t="s">
        <v>758</v>
      </c>
      <c r="E204" t="s">
        <v>282</v>
      </c>
      <c r="F204" t="s">
        <v>759</v>
      </c>
      <c r="G204" t="s">
        <v>18</v>
      </c>
      <c r="H204" t="s">
        <v>127</v>
      </c>
      <c r="I204" t="s">
        <v>128</v>
      </c>
      <c r="J204" t="s">
        <v>21</v>
      </c>
      <c r="K204" s="2">
        <v>51</v>
      </c>
      <c r="L204" s="2" t="str">
        <f>"25.10.22"</f>
        <v>25.10.22</v>
      </c>
    </row>
    <row r="205" spans="1:12" x14ac:dyDescent="0.25">
      <c r="A205">
        <v>202</v>
      </c>
      <c r="B205">
        <v>20708</v>
      </c>
      <c r="C205" t="s">
        <v>760</v>
      </c>
      <c r="D205" t="s">
        <v>761</v>
      </c>
      <c r="E205" t="s">
        <v>762</v>
      </c>
      <c r="F205" t="s">
        <v>763</v>
      </c>
      <c r="G205" t="s">
        <v>18</v>
      </c>
      <c r="H205" t="s">
        <v>764</v>
      </c>
      <c r="I205" t="s">
        <v>765</v>
      </c>
      <c r="J205" t="s">
        <v>63</v>
      </c>
      <c r="K205" s="2">
        <v>45</v>
      </c>
      <c r="L205" s="2" t="str">
        <f>"25.10.21"</f>
        <v>25.10.21</v>
      </c>
    </row>
    <row r="206" spans="1:12" x14ac:dyDescent="0.25">
      <c r="A206">
        <v>203</v>
      </c>
      <c r="B206">
        <v>20723</v>
      </c>
      <c r="C206" t="s">
        <v>766</v>
      </c>
      <c r="D206" t="s">
        <v>767</v>
      </c>
      <c r="E206" t="s">
        <v>768</v>
      </c>
      <c r="F206" t="s">
        <v>435</v>
      </c>
      <c r="G206" t="s">
        <v>18</v>
      </c>
      <c r="H206" t="s">
        <v>769</v>
      </c>
      <c r="I206" t="s">
        <v>27</v>
      </c>
      <c r="J206" t="s">
        <v>21</v>
      </c>
      <c r="K206" s="2">
        <v>47</v>
      </c>
      <c r="L206" s="2" t="str">
        <f>"11.11.06"</f>
        <v>11.11.06</v>
      </c>
    </row>
    <row r="207" spans="1:12" x14ac:dyDescent="0.25">
      <c r="A207">
        <v>204</v>
      </c>
      <c r="B207">
        <v>20724</v>
      </c>
      <c r="C207" t="s">
        <v>770</v>
      </c>
      <c r="D207" t="s">
        <v>680</v>
      </c>
      <c r="E207" t="s">
        <v>771</v>
      </c>
      <c r="F207" t="s">
        <v>682</v>
      </c>
      <c r="G207" t="s">
        <v>56</v>
      </c>
      <c r="H207" t="s">
        <v>772</v>
      </c>
      <c r="I207" t="s">
        <v>773</v>
      </c>
      <c r="J207" t="s">
        <v>86</v>
      </c>
      <c r="K207" s="2">
        <v>44</v>
      </c>
      <c r="L207" s="2" t="str">
        <f>"11.11.05"</f>
        <v>11.11.05</v>
      </c>
    </row>
    <row r="208" spans="1:12" x14ac:dyDescent="0.25">
      <c r="A208">
        <v>205</v>
      </c>
      <c r="B208">
        <v>20729</v>
      </c>
      <c r="C208" t="s">
        <v>614</v>
      </c>
      <c r="D208" t="s">
        <v>419</v>
      </c>
      <c r="E208" t="s">
        <v>615</v>
      </c>
      <c r="F208" t="s">
        <v>421</v>
      </c>
      <c r="G208" t="s">
        <v>18</v>
      </c>
      <c r="H208" t="s">
        <v>774</v>
      </c>
      <c r="I208" t="s">
        <v>775</v>
      </c>
      <c r="J208" t="s">
        <v>86</v>
      </c>
      <c r="K208" s="2">
        <v>46</v>
      </c>
      <c r="L208" s="2" t="str">
        <f>"11.09.11"</f>
        <v>11.09.11</v>
      </c>
    </row>
    <row r="209" spans="1:12" x14ac:dyDescent="0.25">
      <c r="A209">
        <v>206</v>
      </c>
      <c r="B209">
        <v>20734</v>
      </c>
      <c r="C209" t="s">
        <v>776</v>
      </c>
      <c r="D209" t="s">
        <v>777</v>
      </c>
      <c r="E209" t="s">
        <v>778</v>
      </c>
      <c r="F209" t="s">
        <v>779</v>
      </c>
      <c r="G209" t="s">
        <v>18</v>
      </c>
      <c r="H209" t="s">
        <v>780</v>
      </c>
      <c r="I209" t="s">
        <v>781</v>
      </c>
      <c r="J209" t="s">
        <v>63</v>
      </c>
      <c r="K209" s="2">
        <v>58</v>
      </c>
      <c r="L209" s="2" t="str">
        <f>"11.09.06"</f>
        <v>11.09.06</v>
      </c>
    </row>
    <row r="210" spans="1:12" x14ac:dyDescent="0.25">
      <c r="A210">
        <v>207</v>
      </c>
      <c r="B210">
        <v>20735</v>
      </c>
      <c r="C210" t="s">
        <v>782</v>
      </c>
      <c r="D210" t="s">
        <v>783</v>
      </c>
      <c r="E210" t="s">
        <v>784</v>
      </c>
      <c r="F210" t="s">
        <v>785</v>
      </c>
      <c r="G210" t="s">
        <v>18</v>
      </c>
      <c r="H210" t="s">
        <v>50</v>
      </c>
      <c r="I210" t="s">
        <v>27</v>
      </c>
      <c r="J210" t="s">
        <v>21</v>
      </c>
      <c r="K210" s="2">
        <v>62</v>
      </c>
      <c r="L210" s="2" t="str">
        <f>"11.09.04"</f>
        <v>11.09.04</v>
      </c>
    </row>
    <row r="211" spans="1:12" x14ac:dyDescent="0.25">
      <c r="A211">
        <v>208</v>
      </c>
      <c r="B211">
        <v>20737</v>
      </c>
      <c r="C211" t="s">
        <v>786</v>
      </c>
      <c r="D211" t="s">
        <v>535</v>
      </c>
      <c r="E211" t="s">
        <v>787</v>
      </c>
      <c r="F211" t="s">
        <v>536</v>
      </c>
      <c r="G211" t="s">
        <v>18</v>
      </c>
      <c r="H211" t="s">
        <v>788</v>
      </c>
      <c r="I211" t="s">
        <v>20</v>
      </c>
      <c r="J211" t="s">
        <v>63</v>
      </c>
      <c r="K211" s="2">
        <v>53</v>
      </c>
      <c r="L211" s="2" t="str">
        <f>"11.08.13"</f>
        <v>11.08.13</v>
      </c>
    </row>
    <row r="212" spans="1:12" x14ac:dyDescent="0.25">
      <c r="A212">
        <v>209</v>
      </c>
      <c r="B212">
        <v>20747</v>
      </c>
      <c r="C212" t="s">
        <v>46</v>
      </c>
      <c r="D212" t="s">
        <v>269</v>
      </c>
      <c r="E212" t="s">
        <v>48</v>
      </c>
      <c r="F212" t="s">
        <v>271</v>
      </c>
      <c r="G212" t="s">
        <v>18</v>
      </c>
      <c r="H212" t="s">
        <v>789</v>
      </c>
      <c r="I212" t="s">
        <v>790</v>
      </c>
      <c r="J212" t="s">
        <v>86</v>
      </c>
      <c r="K212" s="2">
        <v>43</v>
      </c>
      <c r="L212" s="2" t="str">
        <f>"11.06.04"</f>
        <v>11.06.04</v>
      </c>
    </row>
    <row r="213" spans="1:12" x14ac:dyDescent="0.25">
      <c r="A213">
        <v>210</v>
      </c>
      <c r="B213">
        <v>20751</v>
      </c>
      <c r="C213" t="s">
        <v>791</v>
      </c>
      <c r="D213" t="s">
        <v>792</v>
      </c>
      <c r="E213" t="s">
        <v>793</v>
      </c>
      <c r="F213" t="s">
        <v>794</v>
      </c>
      <c r="G213" t="s">
        <v>18</v>
      </c>
      <c r="H213" t="s">
        <v>592</v>
      </c>
      <c r="I213" t="s">
        <v>593</v>
      </c>
      <c r="J213" t="s">
        <v>21</v>
      </c>
      <c r="K213" s="2">
        <v>34</v>
      </c>
      <c r="L213" s="2" t="str">
        <f>"11.02.09"</f>
        <v>11.02.09</v>
      </c>
    </row>
    <row r="214" spans="1:12" x14ac:dyDescent="0.25">
      <c r="A214">
        <v>211</v>
      </c>
      <c r="B214">
        <v>20753</v>
      </c>
      <c r="C214" t="s">
        <v>438</v>
      </c>
      <c r="D214" t="s">
        <v>597</v>
      </c>
      <c r="E214" t="s">
        <v>440</v>
      </c>
      <c r="F214" t="s">
        <v>599</v>
      </c>
      <c r="G214" t="s">
        <v>18</v>
      </c>
      <c r="H214" t="s">
        <v>442</v>
      </c>
      <c r="I214" t="s">
        <v>443</v>
      </c>
      <c r="J214" t="s">
        <v>21</v>
      </c>
      <c r="K214" s="2">
        <v>42</v>
      </c>
      <c r="L214" s="2" t="str">
        <f>"11.07.07"</f>
        <v>11.07.07</v>
      </c>
    </row>
    <row r="215" spans="1:12" x14ac:dyDescent="0.25">
      <c r="A215">
        <v>212</v>
      </c>
      <c r="B215">
        <v>20758</v>
      </c>
      <c r="C215" t="s">
        <v>795</v>
      </c>
      <c r="D215" t="s">
        <v>674</v>
      </c>
      <c r="E215" t="s">
        <v>796</v>
      </c>
      <c r="F215" t="s">
        <v>676</v>
      </c>
      <c r="G215" t="s">
        <v>56</v>
      </c>
      <c r="H215" t="s">
        <v>797</v>
      </c>
      <c r="I215" t="s">
        <v>798</v>
      </c>
      <c r="J215" t="s">
        <v>63</v>
      </c>
      <c r="K215" s="2">
        <v>35</v>
      </c>
      <c r="L215" s="2" t="str">
        <f>"11.01.11"</f>
        <v>11.01.11</v>
      </c>
    </row>
    <row r="216" spans="1:12" x14ac:dyDescent="0.25">
      <c r="A216">
        <v>213</v>
      </c>
      <c r="B216">
        <v>20776</v>
      </c>
      <c r="C216" t="s">
        <v>799</v>
      </c>
      <c r="D216" t="s">
        <v>188</v>
      </c>
      <c r="E216" t="s">
        <v>800</v>
      </c>
      <c r="F216" t="s">
        <v>190</v>
      </c>
      <c r="G216" t="s">
        <v>18</v>
      </c>
      <c r="H216" t="s">
        <v>127</v>
      </c>
      <c r="I216" t="s">
        <v>128</v>
      </c>
      <c r="J216" t="s">
        <v>21</v>
      </c>
      <c r="K216" s="2">
        <v>44</v>
      </c>
      <c r="L216" s="2" t="str">
        <f>"10.01.11"</f>
        <v>10.01.11</v>
      </c>
    </row>
    <row r="217" spans="1:12" x14ac:dyDescent="0.25">
      <c r="A217">
        <v>214</v>
      </c>
      <c r="B217">
        <v>20779</v>
      </c>
      <c r="C217" t="s">
        <v>801</v>
      </c>
      <c r="D217" t="s">
        <v>802</v>
      </c>
      <c r="E217" t="s">
        <v>803</v>
      </c>
      <c r="F217" t="s">
        <v>804</v>
      </c>
      <c r="G217" t="s">
        <v>56</v>
      </c>
      <c r="H217" t="s">
        <v>805</v>
      </c>
      <c r="I217" t="s">
        <v>806</v>
      </c>
      <c r="J217" t="s">
        <v>86</v>
      </c>
      <c r="K217" s="2">
        <v>38</v>
      </c>
      <c r="L217" s="2" t="str">
        <f>"09.10.26"</f>
        <v>09.10.26</v>
      </c>
    </row>
    <row r="218" spans="1:12" x14ac:dyDescent="0.25">
      <c r="A218">
        <v>215</v>
      </c>
      <c r="B218">
        <v>20781</v>
      </c>
      <c r="C218" t="s">
        <v>807</v>
      </c>
      <c r="D218" t="s">
        <v>510</v>
      </c>
      <c r="E218" t="s">
        <v>808</v>
      </c>
      <c r="F218" t="s">
        <v>512</v>
      </c>
      <c r="G218" t="s">
        <v>18</v>
      </c>
      <c r="H218" t="s">
        <v>592</v>
      </c>
      <c r="I218" t="s">
        <v>593</v>
      </c>
      <c r="J218" t="s">
        <v>21</v>
      </c>
      <c r="K218" s="2">
        <v>45</v>
      </c>
      <c r="L218" s="2" t="str">
        <f>"09.10.17"</f>
        <v>09.10.17</v>
      </c>
    </row>
    <row r="219" spans="1:12" x14ac:dyDescent="0.25">
      <c r="A219">
        <v>216</v>
      </c>
      <c r="B219">
        <v>20784</v>
      </c>
      <c r="C219" t="s">
        <v>809</v>
      </c>
      <c r="D219" t="s">
        <v>199</v>
      </c>
      <c r="E219" t="s">
        <v>810</v>
      </c>
      <c r="F219" t="s">
        <v>201</v>
      </c>
      <c r="G219" t="s">
        <v>18</v>
      </c>
      <c r="H219" t="s">
        <v>742</v>
      </c>
      <c r="I219" t="s">
        <v>743</v>
      </c>
      <c r="J219" t="s">
        <v>86</v>
      </c>
      <c r="K219" s="2">
        <v>42</v>
      </c>
      <c r="L219" s="2" t="str">
        <f>"09.09.10"</f>
        <v>09.09.10</v>
      </c>
    </row>
    <row r="220" spans="1:12" x14ac:dyDescent="0.25">
      <c r="A220">
        <v>217</v>
      </c>
      <c r="B220">
        <v>20787</v>
      </c>
      <c r="C220" t="s">
        <v>811</v>
      </c>
      <c r="D220" t="s">
        <v>146</v>
      </c>
      <c r="E220" t="s">
        <v>812</v>
      </c>
      <c r="F220" t="s">
        <v>148</v>
      </c>
      <c r="G220" t="s">
        <v>18</v>
      </c>
      <c r="H220" t="s">
        <v>264</v>
      </c>
      <c r="I220" t="s">
        <v>265</v>
      </c>
      <c r="J220" t="s">
        <v>21</v>
      </c>
      <c r="K220" s="2">
        <v>34</v>
      </c>
      <c r="L220" s="2" t="str">
        <f>"09.09.00"</f>
        <v>09.09.00</v>
      </c>
    </row>
    <row r="221" spans="1:12" x14ac:dyDescent="0.25">
      <c r="A221">
        <v>218</v>
      </c>
      <c r="B221">
        <v>20797</v>
      </c>
      <c r="C221" t="s">
        <v>786</v>
      </c>
      <c r="D221" t="s">
        <v>813</v>
      </c>
      <c r="E221" t="s">
        <v>787</v>
      </c>
      <c r="F221" t="s">
        <v>814</v>
      </c>
      <c r="G221" t="s">
        <v>18</v>
      </c>
      <c r="H221" t="s">
        <v>408</v>
      </c>
      <c r="I221" t="s">
        <v>409</v>
      </c>
      <c r="J221" t="s">
        <v>21</v>
      </c>
      <c r="K221" s="2">
        <v>41</v>
      </c>
      <c r="L221" s="2" t="str">
        <f>"09.05.24"</f>
        <v>09.05.24</v>
      </c>
    </row>
    <row r="222" spans="1:12" x14ac:dyDescent="0.25">
      <c r="A222">
        <v>219</v>
      </c>
      <c r="B222">
        <v>20800</v>
      </c>
      <c r="C222" t="s">
        <v>815</v>
      </c>
      <c r="D222" t="s">
        <v>533</v>
      </c>
      <c r="E222" t="s">
        <v>816</v>
      </c>
      <c r="F222" t="s">
        <v>534</v>
      </c>
      <c r="G222" t="s">
        <v>18</v>
      </c>
      <c r="H222" t="s">
        <v>817</v>
      </c>
      <c r="I222" t="s">
        <v>818</v>
      </c>
      <c r="J222" t="s">
        <v>86</v>
      </c>
      <c r="K222" s="2">
        <v>33</v>
      </c>
      <c r="L222" s="2" t="str">
        <f>"09.03.09"</f>
        <v>09.03.09</v>
      </c>
    </row>
    <row r="223" spans="1:12" x14ac:dyDescent="0.25">
      <c r="A223">
        <v>220</v>
      </c>
      <c r="B223">
        <v>20801</v>
      </c>
      <c r="C223" t="s">
        <v>819</v>
      </c>
      <c r="D223" t="s">
        <v>820</v>
      </c>
      <c r="E223" t="s">
        <v>821</v>
      </c>
      <c r="F223" t="s">
        <v>822</v>
      </c>
      <c r="G223" t="s">
        <v>56</v>
      </c>
      <c r="H223" t="s">
        <v>340</v>
      </c>
      <c r="I223" t="s">
        <v>341</v>
      </c>
      <c r="J223" t="s">
        <v>86</v>
      </c>
      <c r="K223" s="2">
        <v>36</v>
      </c>
      <c r="L223" s="2" t="str">
        <f>"09.03.10"</f>
        <v>09.03.10</v>
      </c>
    </row>
    <row r="224" spans="1:12" x14ac:dyDescent="0.25">
      <c r="A224">
        <v>221</v>
      </c>
      <c r="B224">
        <v>20802</v>
      </c>
      <c r="C224" t="s">
        <v>93</v>
      </c>
      <c r="D224" t="s">
        <v>792</v>
      </c>
      <c r="E224" t="s">
        <v>95</v>
      </c>
      <c r="F224" t="s">
        <v>794</v>
      </c>
      <c r="G224" t="s">
        <v>18</v>
      </c>
      <c r="H224" t="s">
        <v>592</v>
      </c>
      <c r="I224" t="s">
        <v>593</v>
      </c>
      <c r="J224" t="s">
        <v>21</v>
      </c>
      <c r="K224" s="2">
        <v>30</v>
      </c>
      <c r="L224" s="2" t="str">
        <f>"09.02.26"</f>
        <v>09.02.26</v>
      </c>
    </row>
    <row r="225" spans="1:12" x14ac:dyDescent="0.25">
      <c r="A225">
        <v>222</v>
      </c>
      <c r="B225">
        <v>20803</v>
      </c>
      <c r="C225" t="s">
        <v>823</v>
      </c>
      <c r="D225" t="s">
        <v>217</v>
      </c>
      <c r="E225" t="s">
        <v>824</v>
      </c>
      <c r="F225" t="s">
        <v>219</v>
      </c>
      <c r="G225" t="s">
        <v>18</v>
      </c>
      <c r="H225" t="s">
        <v>825</v>
      </c>
      <c r="I225" t="s">
        <v>826</v>
      </c>
      <c r="J225" t="s">
        <v>63</v>
      </c>
      <c r="K225" s="2">
        <v>50</v>
      </c>
      <c r="L225" s="2" t="str">
        <f>"09.02.11"</f>
        <v>09.02.11</v>
      </c>
    </row>
    <row r="226" spans="1:12" x14ac:dyDescent="0.25">
      <c r="A226">
        <v>223</v>
      </c>
      <c r="B226">
        <v>20804</v>
      </c>
      <c r="C226" t="s">
        <v>827</v>
      </c>
      <c r="D226" t="s">
        <v>154</v>
      </c>
      <c r="E226" t="s">
        <v>828</v>
      </c>
      <c r="F226" t="s">
        <v>156</v>
      </c>
      <c r="G226" t="s">
        <v>18</v>
      </c>
      <c r="H226" t="s">
        <v>127</v>
      </c>
      <c r="I226" t="s">
        <v>128</v>
      </c>
      <c r="J226" t="s">
        <v>21</v>
      </c>
      <c r="K226" s="2">
        <v>63</v>
      </c>
      <c r="L226" s="2" t="str">
        <f>"09.01.29"</f>
        <v>09.01.29</v>
      </c>
    </row>
    <row r="227" spans="1:12" x14ac:dyDescent="0.25">
      <c r="A227">
        <v>224</v>
      </c>
      <c r="B227">
        <v>20814</v>
      </c>
      <c r="C227" t="s">
        <v>133</v>
      </c>
      <c r="D227" t="s">
        <v>146</v>
      </c>
      <c r="E227" t="s">
        <v>135</v>
      </c>
      <c r="F227" t="s">
        <v>148</v>
      </c>
      <c r="G227" t="s">
        <v>18</v>
      </c>
      <c r="H227" t="s">
        <v>829</v>
      </c>
      <c r="I227" t="s">
        <v>830</v>
      </c>
      <c r="J227" t="s">
        <v>21</v>
      </c>
      <c r="K227" s="2">
        <v>36</v>
      </c>
      <c r="L227" s="2" t="str">
        <f>"09.00.09"</f>
        <v>09.00.09</v>
      </c>
    </row>
    <row r="228" spans="1:12" x14ac:dyDescent="0.25">
      <c r="A228">
        <v>225</v>
      </c>
      <c r="B228">
        <v>20815</v>
      </c>
      <c r="C228" t="s">
        <v>831</v>
      </c>
      <c r="D228" t="s">
        <v>256</v>
      </c>
      <c r="E228" t="s">
        <v>832</v>
      </c>
      <c r="F228" t="s">
        <v>257</v>
      </c>
      <c r="G228" t="s">
        <v>18</v>
      </c>
      <c r="H228" t="s">
        <v>112</v>
      </c>
      <c r="I228" t="s">
        <v>27</v>
      </c>
      <c r="J228" t="s">
        <v>21</v>
      </c>
      <c r="K228" s="2">
        <v>48</v>
      </c>
      <c r="L228" s="2" t="str">
        <f>"09.00.11"</f>
        <v>09.00.11</v>
      </c>
    </row>
    <row r="229" spans="1:12" x14ac:dyDescent="0.25">
      <c r="A229">
        <v>226</v>
      </c>
      <c r="B229">
        <v>20822</v>
      </c>
      <c r="C229" t="s">
        <v>571</v>
      </c>
      <c r="D229" t="s">
        <v>833</v>
      </c>
      <c r="E229" t="s">
        <v>573</v>
      </c>
      <c r="F229" t="s">
        <v>834</v>
      </c>
      <c r="G229" t="s">
        <v>56</v>
      </c>
      <c r="H229" t="s">
        <v>278</v>
      </c>
      <c r="I229" t="s">
        <v>279</v>
      </c>
      <c r="J229" t="s">
        <v>86</v>
      </c>
      <c r="K229" s="2">
        <v>53</v>
      </c>
      <c r="L229" s="2" t="str">
        <f>"06.03.17"</f>
        <v>06.03.17</v>
      </c>
    </row>
    <row r="230" spans="1:12" x14ac:dyDescent="0.25">
      <c r="A230">
        <v>227</v>
      </c>
      <c r="B230">
        <v>20824</v>
      </c>
      <c r="C230" t="s">
        <v>358</v>
      </c>
      <c r="D230" t="s">
        <v>709</v>
      </c>
      <c r="E230" t="s">
        <v>360</v>
      </c>
      <c r="F230" t="s">
        <v>711</v>
      </c>
      <c r="G230" t="s">
        <v>18</v>
      </c>
      <c r="H230" t="s">
        <v>531</v>
      </c>
      <c r="I230" t="s">
        <v>532</v>
      </c>
      <c r="J230" t="s">
        <v>21</v>
      </c>
      <c r="K230" s="2">
        <v>47</v>
      </c>
      <c r="L230" s="2" t="str">
        <f>"08.10.22"</f>
        <v>08.10.22</v>
      </c>
    </row>
    <row r="231" spans="1:12" x14ac:dyDescent="0.25">
      <c r="A231">
        <v>228</v>
      </c>
      <c r="B231">
        <v>20825</v>
      </c>
      <c r="C231" t="s">
        <v>835</v>
      </c>
      <c r="D231" t="s">
        <v>686</v>
      </c>
      <c r="E231" t="s">
        <v>836</v>
      </c>
      <c r="F231" t="s">
        <v>688</v>
      </c>
      <c r="G231" t="s">
        <v>18</v>
      </c>
      <c r="H231" t="s">
        <v>789</v>
      </c>
      <c r="I231" t="s">
        <v>790</v>
      </c>
      <c r="J231" t="s">
        <v>86</v>
      </c>
      <c r="K231" s="2">
        <v>49</v>
      </c>
      <c r="L231" s="2" t="str">
        <f>"08.10.12"</f>
        <v>08.10.12</v>
      </c>
    </row>
    <row r="232" spans="1:12" x14ac:dyDescent="0.25">
      <c r="A232">
        <v>229</v>
      </c>
      <c r="B232">
        <v>20827</v>
      </c>
      <c r="C232" t="s">
        <v>837</v>
      </c>
      <c r="D232" t="s">
        <v>188</v>
      </c>
      <c r="E232" t="s">
        <v>838</v>
      </c>
      <c r="F232" t="s">
        <v>190</v>
      </c>
      <c r="G232" t="s">
        <v>18</v>
      </c>
      <c r="H232" t="s">
        <v>655</v>
      </c>
      <c r="I232" t="s">
        <v>656</v>
      </c>
      <c r="J232" t="s">
        <v>21</v>
      </c>
      <c r="K232" s="2">
        <v>49</v>
      </c>
      <c r="L232" s="2" t="str">
        <f>"08.09.20"</f>
        <v>08.09.20</v>
      </c>
    </row>
    <row r="233" spans="1:12" x14ac:dyDescent="0.25">
      <c r="A233">
        <v>230</v>
      </c>
      <c r="B233">
        <v>20831</v>
      </c>
      <c r="C233" t="s">
        <v>119</v>
      </c>
      <c r="D233" t="s">
        <v>839</v>
      </c>
      <c r="E233" t="s">
        <v>121</v>
      </c>
      <c r="F233" t="s">
        <v>840</v>
      </c>
      <c r="G233" t="s">
        <v>18</v>
      </c>
      <c r="H233" t="s">
        <v>50</v>
      </c>
      <c r="I233" t="s">
        <v>27</v>
      </c>
      <c r="J233" t="s">
        <v>21</v>
      </c>
      <c r="K233" s="2">
        <v>39</v>
      </c>
      <c r="L233" s="2" t="str">
        <f>"08.08.24"</f>
        <v>08.08.24</v>
      </c>
    </row>
    <row r="234" spans="1:12" x14ac:dyDescent="0.25">
      <c r="A234">
        <v>231</v>
      </c>
      <c r="B234">
        <v>20832</v>
      </c>
      <c r="C234" t="s">
        <v>489</v>
      </c>
      <c r="D234" t="s">
        <v>841</v>
      </c>
      <c r="E234" t="s">
        <v>842</v>
      </c>
      <c r="F234" t="s">
        <v>843</v>
      </c>
      <c r="G234" t="s">
        <v>18</v>
      </c>
      <c r="H234" t="s">
        <v>248</v>
      </c>
      <c r="I234" t="s">
        <v>249</v>
      </c>
      <c r="J234" t="s">
        <v>21</v>
      </c>
      <c r="K234" s="2">
        <v>42</v>
      </c>
      <c r="L234" s="2" t="str">
        <f>"08.08.12"</f>
        <v>08.08.12</v>
      </c>
    </row>
    <row r="235" spans="1:12" x14ac:dyDescent="0.25">
      <c r="A235">
        <v>232</v>
      </c>
      <c r="B235">
        <v>20834</v>
      </c>
      <c r="C235" t="s">
        <v>844</v>
      </c>
      <c r="D235" t="s">
        <v>845</v>
      </c>
      <c r="E235" t="s">
        <v>846</v>
      </c>
      <c r="F235" t="s">
        <v>847</v>
      </c>
      <c r="G235" t="s">
        <v>18</v>
      </c>
      <c r="H235" t="s">
        <v>127</v>
      </c>
      <c r="I235" t="s">
        <v>128</v>
      </c>
      <c r="J235" t="s">
        <v>21</v>
      </c>
      <c r="K235" s="2">
        <v>29</v>
      </c>
      <c r="L235" s="2" t="str">
        <f>"08.08.11"</f>
        <v>08.08.11</v>
      </c>
    </row>
    <row r="236" spans="1:12" x14ac:dyDescent="0.25">
      <c r="A236">
        <v>233</v>
      </c>
      <c r="B236">
        <v>20835</v>
      </c>
      <c r="C236" t="s">
        <v>334</v>
      </c>
      <c r="D236" t="s">
        <v>848</v>
      </c>
      <c r="E236" t="s">
        <v>336</v>
      </c>
      <c r="F236" t="s">
        <v>849</v>
      </c>
      <c r="G236" t="s">
        <v>18</v>
      </c>
      <c r="H236" t="s">
        <v>584</v>
      </c>
      <c r="I236" t="s">
        <v>585</v>
      </c>
      <c r="J236" t="s">
        <v>21</v>
      </c>
      <c r="K236" s="2">
        <v>29</v>
      </c>
      <c r="L236" s="2" t="str">
        <f>"08.07.10"</f>
        <v>08.07.10</v>
      </c>
    </row>
    <row r="237" spans="1:12" x14ac:dyDescent="0.25">
      <c r="A237">
        <v>234</v>
      </c>
      <c r="B237">
        <v>20837</v>
      </c>
      <c r="C237" t="s">
        <v>844</v>
      </c>
      <c r="D237" t="s">
        <v>850</v>
      </c>
      <c r="E237" t="s">
        <v>846</v>
      </c>
      <c r="F237" t="s">
        <v>851</v>
      </c>
      <c r="G237" t="s">
        <v>18</v>
      </c>
      <c r="H237" t="s">
        <v>852</v>
      </c>
      <c r="I237" t="s">
        <v>781</v>
      </c>
      <c r="J237" t="s">
        <v>63</v>
      </c>
      <c r="K237" s="2">
        <v>37</v>
      </c>
      <c r="L237" s="2" t="str">
        <f>"08.06.14"</f>
        <v>08.06.14</v>
      </c>
    </row>
    <row r="238" spans="1:12" x14ac:dyDescent="0.25">
      <c r="A238">
        <v>235</v>
      </c>
      <c r="B238">
        <v>20838</v>
      </c>
      <c r="C238" t="s">
        <v>853</v>
      </c>
      <c r="D238" t="s">
        <v>343</v>
      </c>
      <c r="E238" t="s">
        <v>854</v>
      </c>
      <c r="F238" t="s">
        <v>345</v>
      </c>
      <c r="G238" t="s">
        <v>18</v>
      </c>
      <c r="H238" t="s">
        <v>855</v>
      </c>
      <c r="I238" t="s">
        <v>856</v>
      </c>
      <c r="J238" t="s">
        <v>21</v>
      </c>
      <c r="K238" s="2">
        <v>42</v>
      </c>
      <c r="L238" s="2" t="str">
        <f>"08.06.08"</f>
        <v>08.06.08</v>
      </c>
    </row>
    <row r="239" spans="1:12" x14ac:dyDescent="0.25">
      <c r="A239">
        <v>236</v>
      </c>
      <c r="B239">
        <v>20839</v>
      </c>
      <c r="C239" t="s">
        <v>857</v>
      </c>
      <c r="D239" t="s">
        <v>94</v>
      </c>
      <c r="E239" t="s">
        <v>858</v>
      </c>
      <c r="F239" t="s">
        <v>96</v>
      </c>
      <c r="G239" t="s">
        <v>18</v>
      </c>
      <c r="H239" t="s">
        <v>448</v>
      </c>
      <c r="I239" t="s">
        <v>27</v>
      </c>
      <c r="J239" t="s">
        <v>21</v>
      </c>
      <c r="K239" s="2">
        <v>48</v>
      </c>
      <c r="L239" s="2" t="str">
        <f>"08.06.06"</f>
        <v>08.06.06</v>
      </c>
    </row>
    <row r="240" spans="1:12" x14ac:dyDescent="0.25">
      <c r="A240">
        <v>237</v>
      </c>
      <c r="B240">
        <v>20842</v>
      </c>
      <c r="C240" t="s">
        <v>859</v>
      </c>
      <c r="D240" t="s">
        <v>35</v>
      </c>
      <c r="E240" t="s">
        <v>860</v>
      </c>
      <c r="F240" t="s">
        <v>37</v>
      </c>
      <c r="G240" t="s">
        <v>18</v>
      </c>
      <c r="H240" t="s">
        <v>436</v>
      </c>
      <c r="I240" t="s">
        <v>437</v>
      </c>
      <c r="J240" t="s">
        <v>21</v>
      </c>
      <c r="K240" s="2">
        <v>50</v>
      </c>
      <c r="L240" s="2" t="str">
        <f>"08.05.11"</f>
        <v>08.05.11</v>
      </c>
    </row>
    <row r="241" spans="1:12" x14ac:dyDescent="0.25">
      <c r="A241">
        <v>238</v>
      </c>
      <c r="B241">
        <v>20844</v>
      </c>
      <c r="C241" t="s">
        <v>861</v>
      </c>
      <c r="D241" t="s">
        <v>188</v>
      </c>
      <c r="E241" t="s">
        <v>862</v>
      </c>
      <c r="F241" t="s">
        <v>190</v>
      </c>
      <c r="G241" t="s">
        <v>18</v>
      </c>
      <c r="H241" t="s">
        <v>863</v>
      </c>
      <c r="I241" t="s">
        <v>864</v>
      </c>
      <c r="J241" t="s">
        <v>21</v>
      </c>
      <c r="K241" s="2">
        <v>51</v>
      </c>
      <c r="L241" s="2" t="str">
        <f>"08.05.13"</f>
        <v>08.05.13</v>
      </c>
    </row>
    <row r="242" spans="1:12" x14ac:dyDescent="0.25">
      <c r="A242">
        <v>239</v>
      </c>
      <c r="B242">
        <v>20847</v>
      </c>
      <c r="C242" t="s">
        <v>865</v>
      </c>
      <c r="D242" t="s">
        <v>154</v>
      </c>
      <c r="E242" t="s">
        <v>866</v>
      </c>
      <c r="F242" t="s">
        <v>156</v>
      </c>
      <c r="G242" t="s">
        <v>18</v>
      </c>
      <c r="H242" t="s">
        <v>127</v>
      </c>
      <c r="I242" t="s">
        <v>128</v>
      </c>
      <c r="J242" t="s">
        <v>21</v>
      </c>
      <c r="K242" s="2">
        <v>36</v>
      </c>
      <c r="L242" s="2" t="str">
        <f>"08.04.28"</f>
        <v>08.04.28</v>
      </c>
    </row>
    <row r="243" spans="1:12" x14ac:dyDescent="0.25">
      <c r="A243">
        <v>240</v>
      </c>
      <c r="B243">
        <v>20848</v>
      </c>
      <c r="C243" t="s">
        <v>539</v>
      </c>
      <c r="D243" t="s">
        <v>867</v>
      </c>
      <c r="E243" t="s">
        <v>540</v>
      </c>
      <c r="F243" t="s">
        <v>868</v>
      </c>
      <c r="G243" t="s">
        <v>18</v>
      </c>
      <c r="H243" t="s">
        <v>26</v>
      </c>
      <c r="I243" t="s">
        <v>27</v>
      </c>
      <c r="J243" t="s">
        <v>21</v>
      </c>
      <c r="K243" s="2">
        <v>50</v>
      </c>
      <c r="L243" s="2" t="str">
        <f>"08.04.16"</f>
        <v>08.04.16</v>
      </c>
    </row>
    <row r="244" spans="1:12" x14ac:dyDescent="0.25">
      <c r="A244">
        <v>241</v>
      </c>
      <c r="B244">
        <v>20851</v>
      </c>
      <c r="C244" t="s">
        <v>244</v>
      </c>
      <c r="D244" t="s">
        <v>94</v>
      </c>
      <c r="E244" t="s">
        <v>246</v>
      </c>
      <c r="F244" t="s">
        <v>96</v>
      </c>
      <c r="G244" t="s">
        <v>18</v>
      </c>
      <c r="H244" t="s">
        <v>448</v>
      </c>
      <c r="I244" t="s">
        <v>27</v>
      </c>
      <c r="J244" t="s">
        <v>21</v>
      </c>
      <c r="K244" s="2">
        <v>40</v>
      </c>
      <c r="L244" s="2" t="str">
        <f>"08.03.22"</f>
        <v>08.03.22</v>
      </c>
    </row>
    <row r="245" spans="1:12" x14ac:dyDescent="0.25">
      <c r="A245">
        <v>242</v>
      </c>
      <c r="B245">
        <v>20852</v>
      </c>
      <c r="C245" t="s">
        <v>119</v>
      </c>
      <c r="D245" t="s">
        <v>35</v>
      </c>
      <c r="E245" t="s">
        <v>121</v>
      </c>
      <c r="F245" t="s">
        <v>37</v>
      </c>
      <c r="G245" t="s">
        <v>18</v>
      </c>
      <c r="H245" t="s">
        <v>50</v>
      </c>
      <c r="I245" t="s">
        <v>51</v>
      </c>
      <c r="J245" t="s">
        <v>21</v>
      </c>
      <c r="K245" s="2">
        <v>46</v>
      </c>
      <c r="L245" s="2" t="str">
        <f>"08.03.14"</f>
        <v>08.03.14</v>
      </c>
    </row>
    <row r="246" spans="1:12" x14ac:dyDescent="0.25">
      <c r="A246">
        <v>243</v>
      </c>
      <c r="B246">
        <v>20855</v>
      </c>
      <c r="C246" t="s">
        <v>368</v>
      </c>
      <c r="D246" t="s">
        <v>94</v>
      </c>
      <c r="E246" t="s">
        <v>369</v>
      </c>
      <c r="F246" t="s">
        <v>96</v>
      </c>
      <c r="G246" t="s">
        <v>18</v>
      </c>
      <c r="H246" t="s">
        <v>226</v>
      </c>
      <c r="I246" t="s">
        <v>227</v>
      </c>
      <c r="J246" t="s">
        <v>86</v>
      </c>
      <c r="K246" s="2">
        <v>38</v>
      </c>
      <c r="L246" s="2" t="str">
        <f>"08.01.25"</f>
        <v>08.01.25</v>
      </c>
    </row>
    <row r="247" spans="1:12" x14ac:dyDescent="0.25">
      <c r="A247">
        <v>244</v>
      </c>
      <c r="B247">
        <v>20866</v>
      </c>
      <c r="C247" t="s">
        <v>869</v>
      </c>
      <c r="D247" t="s">
        <v>134</v>
      </c>
      <c r="E247" t="s">
        <v>870</v>
      </c>
      <c r="F247" t="s">
        <v>136</v>
      </c>
      <c r="G247" t="s">
        <v>18</v>
      </c>
      <c r="H247" t="s">
        <v>382</v>
      </c>
      <c r="I247" t="s">
        <v>383</v>
      </c>
      <c r="J247" t="s">
        <v>21</v>
      </c>
      <c r="K247" s="2">
        <v>45</v>
      </c>
      <c r="L247" s="2" t="str">
        <f>"07.08.24"</f>
        <v>07.08.24</v>
      </c>
    </row>
    <row r="248" spans="1:12" x14ac:dyDescent="0.25">
      <c r="A248">
        <v>245</v>
      </c>
      <c r="B248">
        <v>20871</v>
      </c>
      <c r="C248" t="s">
        <v>489</v>
      </c>
      <c r="D248" t="s">
        <v>188</v>
      </c>
      <c r="E248" t="s">
        <v>842</v>
      </c>
      <c r="F248" t="s">
        <v>190</v>
      </c>
      <c r="G248" t="s">
        <v>18</v>
      </c>
      <c r="H248" t="s">
        <v>106</v>
      </c>
      <c r="I248" t="s">
        <v>107</v>
      </c>
      <c r="J248" t="s">
        <v>21</v>
      </c>
      <c r="K248" s="2">
        <v>47</v>
      </c>
      <c r="L248" s="2" t="str">
        <f>"07.07.11"</f>
        <v>07.07.11</v>
      </c>
    </row>
    <row r="249" spans="1:12" x14ac:dyDescent="0.25">
      <c r="A249">
        <v>246</v>
      </c>
      <c r="B249">
        <v>20872</v>
      </c>
      <c r="C249" t="s">
        <v>871</v>
      </c>
      <c r="D249" t="s">
        <v>872</v>
      </c>
      <c r="E249" t="s">
        <v>873</v>
      </c>
      <c r="F249" t="s">
        <v>874</v>
      </c>
      <c r="G249" t="s">
        <v>18</v>
      </c>
      <c r="H249" t="s">
        <v>127</v>
      </c>
      <c r="I249" t="s">
        <v>128</v>
      </c>
      <c r="J249" t="s">
        <v>21</v>
      </c>
      <c r="K249" s="2">
        <v>36</v>
      </c>
      <c r="L249" s="2" t="str">
        <f>"07.07.11"</f>
        <v>07.07.11</v>
      </c>
    </row>
    <row r="250" spans="1:12" x14ac:dyDescent="0.25">
      <c r="A250">
        <v>247</v>
      </c>
      <c r="B250">
        <v>20876</v>
      </c>
      <c r="C250" t="s">
        <v>875</v>
      </c>
      <c r="D250" t="s">
        <v>876</v>
      </c>
      <c r="E250" t="s">
        <v>877</v>
      </c>
      <c r="F250" t="s">
        <v>878</v>
      </c>
      <c r="G250" t="s">
        <v>18</v>
      </c>
      <c r="H250" t="s">
        <v>112</v>
      </c>
      <c r="I250" t="s">
        <v>27</v>
      </c>
      <c r="J250" t="s">
        <v>21</v>
      </c>
      <c r="K250" s="2">
        <v>42</v>
      </c>
      <c r="L250" s="2" t="str">
        <f>"07.05.27"</f>
        <v>07.05.27</v>
      </c>
    </row>
    <row r="251" spans="1:12" x14ac:dyDescent="0.25">
      <c r="A251">
        <v>248</v>
      </c>
      <c r="B251">
        <v>20879</v>
      </c>
      <c r="C251" t="s">
        <v>879</v>
      </c>
      <c r="D251" t="s">
        <v>99</v>
      </c>
      <c r="E251" t="s">
        <v>880</v>
      </c>
      <c r="F251" t="s">
        <v>101</v>
      </c>
      <c r="G251" t="s">
        <v>18</v>
      </c>
      <c r="H251" t="s">
        <v>137</v>
      </c>
      <c r="I251" t="s">
        <v>138</v>
      </c>
      <c r="J251" t="s">
        <v>21</v>
      </c>
      <c r="K251" s="2">
        <v>52</v>
      </c>
      <c r="L251" s="2" t="str">
        <f>"07.05.05"</f>
        <v>07.05.05</v>
      </c>
    </row>
    <row r="252" spans="1:12" x14ac:dyDescent="0.25">
      <c r="A252">
        <v>249</v>
      </c>
      <c r="B252">
        <v>20883</v>
      </c>
      <c r="C252" t="s">
        <v>881</v>
      </c>
      <c r="D252" t="s">
        <v>99</v>
      </c>
      <c r="E252" t="s">
        <v>882</v>
      </c>
      <c r="F252" t="s">
        <v>101</v>
      </c>
      <c r="G252" t="s">
        <v>18</v>
      </c>
      <c r="H252" t="s">
        <v>883</v>
      </c>
      <c r="I252" t="s">
        <v>884</v>
      </c>
      <c r="J252" t="s">
        <v>21</v>
      </c>
      <c r="K252" s="2">
        <v>37</v>
      </c>
      <c r="L252" s="2" t="str">
        <f>"07.04.01"</f>
        <v>07.04.01</v>
      </c>
    </row>
    <row r="253" spans="1:12" x14ac:dyDescent="0.25">
      <c r="A253">
        <v>250</v>
      </c>
      <c r="B253">
        <v>20889</v>
      </c>
      <c r="C253" t="s">
        <v>885</v>
      </c>
      <c r="D253" t="s">
        <v>886</v>
      </c>
      <c r="E253" t="s">
        <v>887</v>
      </c>
      <c r="F253" t="s">
        <v>888</v>
      </c>
      <c r="G253" t="s">
        <v>18</v>
      </c>
      <c r="H253" t="s">
        <v>889</v>
      </c>
      <c r="I253" t="s">
        <v>890</v>
      </c>
      <c r="J253" t="s">
        <v>86</v>
      </c>
      <c r="K253" s="2">
        <v>43</v>
      </c>
      <c r="L253" s="2" t="str">
        <f>"11.05.11"</f>
        <v>11.05.11</v>
      </c>
    </row>
    <row r="254" spans="1:12" x14ac:dyDescent="0.25">
      <c r="A254">
        <v>251</v>
      </c>
      <c r="B254">
        <v>20893</v>
      </c>
      <c r="C254" t="s">
        <v>119</v>
      </c>
      <c r="D254" t="s">
        <v>261</v>
      </c>
      <c r="E254" t="s">
        <v>121</v>
      </c>
      <c r="F254" t="s">
        <v>263</v>
      </c>
      <c r="G254" t="s">
        <v>18</v>
      </c>
      <c r="H254" t="s">
        <v>891</v>
      </c>
      <c r="I254" t="s">
        <v>892</v>
      </c>
      <c r="J254" t="s">
        <v>86</v>
      </c>
      <c r="K254" s="2">
        <v>40</v>
      </c>
      <c r="L254" s="2" t="str">
        <f>"17.04.18"</f>
        <v>17.04.18</v>
      </c>
    </row>
    <row r="255" spans="1:12" x14ac:dyDescent="0.25">
      <c r="A255">
        <v>252</v>
      </c>
      <c r="B255">
        <v>20894</v>
      </c>
      <c r="C255" t="s">
        <v>782</v>
      </c>
      <c r="D255" t="s">
        <v>893</v>
      </c>
      <c r="E255" t="s">
        <v>784</v>
      </c>
      <c r="F255" t="s">
        <v>894</v>
      </c>
      <c r="G255" t="s">
        <v>18</v>
      </c>
      <c r="H255" t="s">
        <v>112</v>
      </c>
      <c r="I255" t="s">
        <v>27</v>
      </c>
      <c r="J255" t="s">
        <v>21</v>
      </c>
      <c r="K255" s="2">
        <v>42</v>
      </c>
      <c r="L255" s="2" t="str">
        <f>"07.03.07"</f>
        <v>07.03.07</v>
      </c>
    </row>
    <row r="256" spans="1:12" x14ac:dyDescent="0.25">
      <c r="A256">
        <v>253</v>
      </c>
      <c r="B256">
        <v>20896</v>
      </c>
      <c r="C256" t="s">
        <v>895</v>
      </c>
      <c r="D256" t="s">
        <v>896</v>
      </c>
      <c r="E256" t="s">
        <v>897</v>
      </c>
      <c r="F256" t="s">
        <v>898</v>
      </c>
      <c r="G256" t="s">
        <v>18</v>
      </c>
      <c r="H256" t="s">
        <v>127</v>
      </c>
      <c r="I256" t="s">
        <v>128</v>
      </c>
      <c r="J256" t="s">
        <v>21</v>
      </c>
      <c r="K256" s="2">
        <v>54</v>
      </c>
      <c r="L256" s="2" t="str">
        <f>"07.02.21"</f>
        <v>07.02.21</v>
      </c>
    </row>
    <row r="257" spans="1:12" x14ac:dyDescent="0.25">
      <c r="A257">
        <v>254</v>
      </c>
      <c r="B257">
        <v>20898</v>
      </c>
      <c r="C257" t="s">
        <v>46</v>
      </c>
      <c r="D257" t="s">
        <v>899</v>
      </c>
      <c r="E257" t="s">
        <v>900</v>
      </c>
      <c r="F257" t="s">
        <v>901</v>
      </c>
      <c r="G257" t="s">
        <v>18</v>
      </c>
      <c r="H257" t="s">
        <v>127</v>
      </c>
      <c r="I257" t="s">
        <v>128</v>
      </c>
      <c r="J257" t="s">
        <v>21</v>
      </c>
      <c r="K257" s="2">
        <v>39</v>
      </c>
      <c r="L257" s="2" t="str">
        <f>"07.02.11"</f>
        <v>07.02.11</v>
      </c>
    </row>
    <row r="258" spans="1:12" x14ac:dyDescent="0.25">
      <c r="A258">
        <v>255</v>
      </c>
      <c r="B258">
        <v>20899</v>
      </c>
      <c r="C258" t="s">
        <v>902</v>
      </c>
      <c r="D258" t="s">
        <v>903</v>
      </c>
      <c r="E258" t="s">
        <v>904</v>
      </c>
      <c r="F258" t="s">
        <v>905</v>
      </c>
      <c r="G258" t="s">
        <v>18</v>
      </c>
      <c r="H258" t="s">
        <v>906</v>
      </c>
      <c r="I258" t="s">
        <v>907</v>
      </c>
      <c r="J258" t="s">
        <v>21</v>
      </c>
      <c r="K258" s="2">
        <v>26</v>
      </c>
      <c r="L258" s="2" t="str">
        <f>"07.02.13"</f>
        <v>07.02.13</v>
      </c>
    </row>
    <row r="259" spans="1:12" x14ac:dyDescent="0.25">
      <c r="A259">
        <v>256</v>
      </c>
      <c r="B259">
        <v>20903</v>
      </c>
      <c r="C259" t="s">
        <v>908</v>
      </c>
      <c r="D259" t="s">
        <v>909</v>
      </c>
      <c r="E259" t="s">
        <v>910</v>
      </c>
      <c r="F259" t="s">
        <v>911</v>
      </c>
      <c r="G259" t="s">
        <v>18</v>
      </c>
      <c r="H259" t="s">
        <v>655</v>
      </c>
      <c r="I259" t="s">
        <v>656</v>
      </c>
      <c r="J259" t="s">
        <v>21</v>
      </c>
      <c r="K259" s="2">
        <v>38</v>
      </c>
      <c r="L259" s="2" t="str">
        <f>"07.02.03"</f>
        <v>07.02.03</v>
      </c>
    </row>
    <row r="260" spans="1:12" x14ac:dyDescent="0.25">
      <c r="A260">
        <v>257</v>
      </c>
      <c r="B260">
        <v>20910</v>
      </c>
      <c r="C260" t="s">
        <v>616</v>
      </c>
      <c r="D260" t="s">
        <v>903</v>
      </c>
      <c r="E260" t="s">
        <v>617</v>
      </c>
      <c r="F260" t="s">
        <v>905</v>
      </c>
      <c r="G260" t="s">
        <v>18</v>
      </c>
      <c r="H260" t="s">
        <v>592</v>
      </c>
      <c r="I260" t="s">
        <v>593</v>
      </c>
      <c r="J260" t="s">
        <v>21</v>
      </c>
      <c r="K260" s="2">
        <v>32</v>
      </c>
      <c r="L260" s="2" t="str">
        <f>"07.01.10"</f>
        <v>07.01.10</v>
      </c>
    </row>
    <row r="261" spans="1:12" x14ac:dyDescent="0.25">
      <c r="A261">
        <v>258</v>
      </c>
      <c r="B261">
        <v>20911</v>
      </c>
      <c r="C261" t="s">
        <v>912</v>
      </c>
      <c r="D261" t="s">
        <v>913</v>
      </c>
      <c r="E261" t="s">
        <v>914</v>
      </c>
      <c r="F261" t="s">
        <v>915</v>
      </c>
      <c r="G261" t="s">
        <v>18</v>
      </c>
      <c r="H261" t="s">
        <v>863</v>
      </c>
      <c r="I261" t="s">
        <v>864</v>
      </c>
      <c r="J261" t="s">
        <v>21</v>
      </c>
      <c r="K261" s="2">
        <v>33</v>
      </c>
      <c r="L261" s="2" t="str">
        <f>"07.01.05"</f>
        <v>07.01.05</v>
      </c>
    </row>
    <row r="262" spans="1:12" x14ac:dyDescent="0.25">
      <c r="A262">
        <v>259</v>
      </c>
      <c r="B262">
        <v>20914</v>
      </c>
      <c r="C262" t="s">
        <v>916</v>
      </c>
      <c r="D262" t="s">
        <v>917</v>
      </c>
      <c r="E262" t="s">
        <v>918</v>
      </c>
      <c r="F262" t="s">
        <v>919</v>
      </c>
      <c r="G262" t="s">
        <v>18</v>
      </c>
      <c r="H262" t="s">
        <v>920</v>
      </c>
      <c r="I262" t="s">
        <v>921</v>
      </c>
      <c r="J262" t="s">
        <v>21</v>
      </c>
      <c r="K262" s="2">
        <v>44</v>
      </c>
      <c r="L262" s="2" t="str">
        <f>"07.00.18"</f>
        <v>07.00.18</v>
      </c>
    </row>
    <row r="263" spans="1:12" x14ac:dyDescent="0.25">
      <c r="A263">
        <v>260</v>
      </c>
      <c r="B263">
        <v>20915</v>
      </c>
      <c r="C263" t="s">
        <v>922</v>
      </c>
      <c r="D263" t="s">
        <v>188</v>
      </c>
      <c r="E263" t="s">
        <v>923</v>
      </c>
      <c r="F263" t="s">
        <v>190</v>
      </c>
      <c r="G263" t="s">
        <v>18</v>
      </c>
      <c r="H263" t="s">
        <v>248</v>
      </c>
      <c r="I263" t="s">
        <v>249</v>
      </c>
      <c r="J263" t="s">
        <v>21</v>
      </c>
      <c r="K263" s="2">
        <v>47</v>
      </c>
      <c r="L263" s="2" t="str">
        <f>"07.00.14"</f>
        <v>07.00.14</v>
      </c>
    </row>
    <row r="264" spans="1:12" x14ac:dyDescent="0.25">
      <c r="A264">
        <v>261</v>
      </c>
      <c r="B264">
        <v>20916</v>
      </c>
      <c r="C264" t="s">
        <v>924</v>
      </c>
      <c r="D264" t="s">
        <v>925</v>
      </c>
      <c r="E264" t="s">
        <v>926</v>
      </c>
      <c r="F264" t="s">
        <v>927</v>
      </c>
      <c r="G264" t="s">
        <v>18</v>
      </c>
      <c r="H264" t="s">
        <v>127</v>
      </c>
      <c r="I264" t="s">
        <v>128</v>
      </c>
      <c r="J264" t="s">
        <v>21</v>
      </c>
      <c r="K264" s="2">
        <v>41</v>
      </c>
      <c r="L264" s="2" t="str">
        <f>"07.00.11"</f>
        <v>07.00.11</v>
      </c>
    </row>
    <row r="265" spans="1:12" x14ac:dyDescent="0.25">
      <c r="A265">
        <v>262</v>
      </c>
      <c r="B265">
        <v>20917</v>
      </c>
      <c r="C265" t="s">
        <v>928</v>
      </c>
      <c r="D265" t="s">
        <v>533</v>
      </c>
      <c r="E265" t="s">
        <v>929</v>
      </c>
      <c r="F265" t="s">
        <v>534</v>
      </c>
      <c r="G265" t="s">
        <v>18</v>
      </c>
      <c r="H265" t="s">
        <v>210</v>
      </c>
      <c r="I265" t="s">
        <v>211</v>
      </c>
      <c r="J265" t="s">
        <v>21</v>
      </c>
      <c r="K265" s="2">
        <v>43</v>
      </c>
      <c r="L265" s="2" t="str">
        <f>"07.00.12"</f>
        <v>07.00.12</v>
      </c>
    </row>
    <row r="266" spans="1:12" x14ac:dyDescent="0.25">
      <c r="A266">
        <v>263</v>
      </c>
      <c r="B266">
        <v>20919</v>
      </c>
      <c r="C266" t="s">
        <v>539</v>
      </c>
      <c r="D266" t="s">
        <v>445</v>
      </c>
      <c r="E266" t="s">
        <v>540</v>
      </c>
      <c r="F266" t="s">
        <v>447</v>
      </c>
      <c r="G266" t="s">
        <v>18</v>
      </c>
      <c r="H266" t="s">
        <v>127</v>
      </c>
      <c r="I266" t="s">
        <v>128</v>
      </c>
      <c r="J266" t="s">
        <v>21</v>
      </c>
      <c r="K266" s="2">
        <v>40</v>
      </c>
      <c r="L266" s="2" t="str">
        <f>"06.11.26"</f>
        <v>06.11.26</v>
      </c>
    </row>
    <row r="267" spans="1:12" x14ac:dyDescent="0.25">
      <c r="A267">
        <v>264</v>
      </c>
      <c r="B267">
        <v>20920</v>
      </c>
      <c r="C267" t="s">
        <v>280</v>
      </c>
      <c r="D267" t="s">
        <v>930</v>
      </c>
      <c r="E267" t="s">
        <v>282</v>
      </c>
      <c r="F267" t="s">
        <v>931</v>
      </c>
      <c r="G267" t="s">
        <v>18</v>
      </c>
      <c r="H267" t="s">
        <v>426</v>
      </c>
      <c r="I267" t="s">
        <v>437</v>
      </c>
      <c r="J267" t="s">
        <v>21</v>
      </c>
      <c r="K267" s="2">
        <v>29</v>
      </c>
      <c r="L267" s="2" t="str">
        <f>"06.11.25"</f>
        <v>06.11.25</v>
      </c>
    </row>
    <row r="268" spans="1:12" x14ac:dyDescent="0.25">
      <c r="A268">
        <v>265</v>
      </c>
      <c r="B268">
        <v>20924</v>
      </c>
      <c r="C268" t="s">
        <v>932</v>
      </c>
      <c r="D268" t="s">
        <v>933</v>
      </c>
      <c r="E268" t="s">
        <v>934</v>
      </c>
      <c r="F268" t="s">
        <v>172</v>
      </c>
      <c r="G268" t="s">
        <v>56</v>
      </c>
      <c r="H268" t="s">
        <v>935</v>
      </c>
      <c r="I268" t="s">
        <v>936</v>
      </c>
      <c r="J268" t="s">
        <v>86</v>
      </c>
      <c r="K268" s="2">
        <v>52</v>
      </c>
      <c r="L268" s="2" t="str">
        <f>"06.11.08"</f>
        <v>06.11.08</v>
      </c>
    </row>
    <row r="269" spans="1:12" x14ac:dyDescent="0.25">
      <c r="A269">
        <v>266</v>
      </c>
      <c r="B269">
        <v>20927</v>
      </c>
      <c r="C269" t="s">
        <v>191</v>
      </c>
      <c r="D269" t="s">
        <v>937</v>
      </c>
      <c r="E269" t="s">
        <v>192</v>
      </c>
      <c r="F269" t="s">
        <v>938</v>
      </c>
      <c r="G269" t="s">
        <v>18</v>
      </c>
      <c r="H269" t="s">
        <v>939</v>
      </c>
      <c r="I269" t="s">
        <v>940</v>
      </c>
      <c r="J269" t="s">
        <v>86</v>
      </c>
      <c r="K269" s="2">
        <v>31</v>
      </c>
      <c r="L269" s="2" t="str">
        <f>"04.11.16"</f>
        <v>04.11.16</v>
      </c>
    </row>
    <row r="270" spans="1:12" x14ac:dyDescent="0.25">
      <c r="A270">
        <v>267</v>
      </c>
      <c r="B270">
        <v>20928</v>
      </c>
      <c r="C270" t="s">
        <v>594</v>
      </c>
      <c r="D270" t="s">
        <v>419</v>
      </c>
      <c r="E270" t="s">
        <v>595</v>
      </c>
      <c r="F270" t="s">
        <v>421</v>
      </c>
      <c r="G270" t="s">
        <v>18</v>
      </c>
      <c r="H270" t="s">
        <v>26</v>
      </c>
      <c r="I270" t="s">
        <v>27</v>
      </c>
      <c r="J270" t="s">
        <v>21</v>
      </c>
      <c r="K270" s="2">
        <v>26</v>
      </c>
      <c r="L270" s="2" t="str">
        <f>"06.10.24"</f>
        <v>06.10.24</v>
      </c>
    </row>
    <row r="271" spans="1:12" x14ac:dyDescent="0.25">
      <c r="A271">
        <v>268</v>
      </c>
      <c r="B271">
        <v>20935</v>
      </c>
      <c r="C271" t="s">
        <v>941</v>
      </c>
      <c r="D271" t="s">
        <v>942</v>
      </c>
      <c r="E271" t="s">
        <v>943</v>
      </c>
      <c r="F271" t="s">
        <v>944</v>
      </c>
      <c r="G271" t="s">
        <v>18</v>
      </c>
      <c r="H271" t="s">
        <v>127</v>
      </c>
      <c r="I271" t="s">
        <v>128</v>
      </c>
      <c r="J271" t="s">
        <v>21</v>
      </c>
      <c r="K271" s="2">
        <v>28</v>
      </c>
      <c r="L271" s="2" t="str">
        <f>"04.11.20"</f>
        <v>04.11.20</v>
      </c>
    </row>
    <row r="272" spans="1:12" x14ac:dyDescent="0.25">
      <c r="A272">
        <v>269</v>
      </c>
      <c r="B272">
        <v>20936</v>
      </c>
      <c r="C272" t="s">
        <v>941</v>
      </c>
      <c r="D272" t="s">
        <v>945</v>
      </c>
      <c r="E272" t="s">
        <v>943</v>
      </c>
      <c r="F272" t="s">
        <v>946</v>
      </c>
      <c r="G272" t="s">
        <v>18</v>
      </c>
      <c r="H272" t="s">
        <v>127</v>
      </c>
      <c r="I272" t="s">
        <v>128</v>
      </c>
      <c r="J272" t="s">
        <v>21</v>
      </c>
      <c r="K272" s="2">
        <v>28</v>
      </c>
      <c r="L272" s="2" t="str">
        <f>"06.09.27"</f>
        <v>06.09.27</v>
      </c>
    </row>
    <row r="273" spans="1:12" x14ac:dyDescent="0.25">
      <c r="A273">
        <v>270</v>
      </c>
      <c r="B273">
        <v>20937</v>
      </c>
      <c r="C273" t="s">
        <v>947</v>
      </c>
      <c r="D273" t="s">
        <v>269</v>
      </c>
      <c r="E273" t="s">
        <v>948</v>
      </c>
      <c r="F273" t="s">
        <v>271</v>
      </c>
      <c r="G273" t="s">
        <v>18</v>
      </c>
      <c r="H273" t="s">
        <v>436</v>
      </c>
      <c r="I273" t="s">
        <v>437</v>
      </c>
      <c r="J273" t="s">
        <v>21</v>
      </c>
      <c r="K273" s="2">
        <v>55</v>
      </c>
      <c r="L273" s="2" t="str">
        <f>"06.09.27"</f>
        <v>06.09.27</v>
      </c>
    </row>
    <row r="274" spans="1:12" x14ac:dyDescent="0.25">
      <c r="A274">
        <v>271</v>
      </c>
      <c r="B274">
        <v>20942</v>
      </c>
      <c r="C274" t="s">
        <v>949</v>
      </c>
      <c r="D274" t="s">
        <v>59</v>
      </c>
      <c r="E274" t="s">
        <v>950</v>
      </c>
      <c r="F274" t="s">
        <v>60</v>
      </c>
      <c r="G274" t="s">
        <v>18</v>
      </c>
      <c r="H274" t="s">
        <v>127</v>
      </c>
      <c r="I274" t="s">
        <v>128</v>
      </c>
      <c r="J274" t="s">
        <v>21</v>
      </c>
      <c r="K274" s="2">
        <v>41</v>
      </c>
      <c r="L274" s="2" t="str">
        <f>"06.09.14"</f>
        <v>06.09.14</v>
      </c>
    </row>
    <row r="275" spans="1:12" x14ac:dyDescent="0.25">
      <c r="A275">
        <v>272</v>
      </c>
      <c r="B275">
        <v>20944</v>
      </c>
      <c r="C275" t="s">
        <v>951</v>
      </c>
      <c r="D275" t="s">
        <v>952</v>
      </c>
      <c r="E275" t="s">
        <v>953</v>
      </c>
      <c r="F275" t="s">
        <v>954</v>
      </c>
      <c r="G275" t="s">
        <v>18</v>
      </c>
      <c r="H275" t="s">
        <v>517</v>
      </c>
      <c r="I275" t="s">
        <v>518</v>
      </c>
      <c r="J275" t="s">
        <v>21</v>
      </c>
      <c r="K275" s="2">
        <v>27</v>
      </c>
      <c r="L275" s="2" t="str">
        <f>"06.09.09"</f>
        <v>06.09.09</v>
      </c>
    </row>
    <row r="276" spans="1:12" x14ac:dyDescent="0.25">
      <c r="A276">
        <v>273</v>
      </c>
      <c r="B276">
        <v>20948</v>
      </c>
      <c r="C276" t="s">
        <v>955</v>
      </c>
      <c r="D276" t="s">
        <v>180</v>
      </c>
      <c r="E276" t="s">
        <v>956</v>
      </c>
      <c r="F276" t="s">
        <v>182</v>
      </c>
      <c r="G276" t="s">
        <v>18</v>
      </c>
      <c r="H276" t="s">
        <v>127</v>
      </c>
      <c r="I276" t="s">
        <v>128</v>
      </c>
      <c r="J276" t="s">
        <v>21</v>
      </c>
      <c r="K276" s="2">
        <v>47</v>
      </c>
      <c r="L276" s="2" t="str">
        <f>"06.08.18"</f>
        <v>06.08.18</v>
      </c>
    </row>
    <row r="277" spans="1:12" x14ac:dyDescent="0.25">
      <c r="A277">
        <v>274</v>
      </c>
      <c r="B277">
        <v>20951</v>
      </c>
      <c r="C277" t="s">
        <v>957</v>
      </c>
      <c r="D277" t="s">
        <v>445</v>
      </c>
      <c r="E277" t="s">
        <v>958</v>
      </c>
      <c r="F277" t="s">
        <v>447</v>
      </c>
      <c r="G277" t="s">
        <v>18</v>
      </c>
      <c r="H277" t="s">
        <v>584</v>
      </c>
      <c r="I277" t="s">
        <v>585</v>
      </c>
      <c r="J277" t="s">
        <v>21</v>
      </c>
      <c r="K277" s="2">
        <v>27</v>
      </c>
      <c r="L277" s="2" t="str">
        <f>"06.08.02"</f>
        <v>06.08.02</v>
      </c>
    </row>
    <row r="278" spans="1:12" x14ac:dyDescent="0.25">
      <c r="A278">
        <v>275</v>
      </c>
      <c r="B278">
        <v>20953</v>
      </c>
      <c r="C278" t="s">
        <v>959</v>
      </c>
      <c r="D278" t="s">
        <v>960</v>
      </c>
      <c r="E278" t="s">
        <v>961</v>
      </c>
      <c r="F278" t="s">
        <v>962</v>
      </c>
      <c r="G278" t="s">
        <v>18</v>
      </c>
      <c r="H278" t="s">
        <v>963</v>
      </c>
      <c r="I278" t="s">
        <v>964</v>
      </c>
      <c r="J278" t="s">
        <v>21</v>
      </c>
      <c r="K278" s="2">
        <v>33</v>
      </c>
      <c r="L278" s="2" t="str">
        <f>"06.07.22"</f>
        <v>06.07.22</v>
      </c>
    </row>
    <row r="279" spans="1:12" x14ac:dyDescent="0.25">
      <c r="A279">
        <v>276</v>
      </c>
      <c r="B279">
        <v>20955</v>
      </c>
      <c r="C279" t="s">
        <v>965</v>
      </c>
      <c r="D279" t="s">
        <v>966</v>
      </c>
      <c r="E279" t="s">
        <v>967</v>
      </c>
      <c r="F279" t="s">
        <v>968</v>
      </c>
      <c r="G279" t="s">
        <v>56</v>
      </c>
      <c r="H279" t="s">
        <v>592</v>
      </c>
      <c r="I279" t="s">
        <v>593</v>
      </c>
      <c r="J279" t="s">
        <v>21</v>
      </c>
      <c r="K279" s="2">
        <v>41</v>
      </c>
      <c r="L279" s="2" t="str">
        <f>"06.06.27"</f>
        <v>06.06.27</v>
      </c>
    </row>
    <row r="280" spans="1:12" x14ac:dyDescent="0.25">
      <c r="A280">
        <v>277</v>
      </c>
      <c r="B280">
        <v>20958</v>
      </c>
      <c r="C280" t="s">
        <v>187</v>
      </c>
      <c r="D280" t="s">
        <v>969</v>
      </c>
      <c r="E280" t="s">
        <v>189</v>
      </c>
      <c r="F280" t="s">
        <v>970</v>
      </c>
      <c r="G280" t="s">
        <v>18</v>
      </c>
      <c r="H280" t="s">
        <v>137</v>
      </c>
      <c r="I280" t="s">
        <v>138</v>
      </c>
      <c r="J280" t="s">
        <v>21</v>
      </c>
      <c r="K280" s="2">
        <v>55</v>
      </c>
      <c r="L280" s="2" t="str">
        <f>"06.06.11"</f>
        <v>06.06.11</v>
      </c>
    </row>
    <row r="281" spans="1:12" x14ac:dyDescent="0.25">
      <c r="A281">
        <v>278</v>
      </c>
      <c r="B281">
        <v>20963</v>
      </c>
      <c r="C281" t="s">
        <v>453</v>
      </c>
      <c r="D281" t="s">
        <v>971</v>
      </c>
      <c r="E281" t="s">
        <v>454</v>
      </c>
      <c r="F281" t="s">
        <v>972</v>
      </c>
      <c r="G281" t="s">
        <v>18</v>
      </c>
      <c r="H281" t="s">
        <v>920</v>
      </c>
      <c r="I281" t="s">
        <v>921</v>
      </c>
      <c r="J281" t="s">
        <v>21</v>
      </c>
      <c r="K281" s="2">
        <v>35</v>
      </c>
      <c r="L281" s="2" t="str">
        <f>"04.01.18"</f>
        <v>04.01.18</v>
      </c>
    </row>
    <row r="282" spans="1:12" x14ac:dyDescent="0.25">
      <c r="A282">
        <v>279</v>
      </c>
      <c r="B282">
        <v>20964</v>
      </c>
      <c r="C282" t="s">
        <v>973</v>
      </c>
      <c r="D282" t="s">
        <v>164</v>
      </c>
      <c r="E282" t="s">
        <v>974</v>
      </c>
      <c r="F282" t="s">
        <v>166</v>
      </c>
      <c r="G282" t="s">
        <v>18</v>
      </c>
      <c r="H282" t="s">
        <v>975</v>
      </c>
      <c r="I282" t="s">
        <v>976</v>
      </c>
      <c r="J282" t="s">
        <v>86</v>
      </c>
      <c r="K282" s="2">
        <v>40</v>
      </c>
      <c r="L282" s="2" t="str">
        <f>"06.04.09"</f>
        <v>06.04.09</v>
      </c>
    </row>
    <row r="283" spans="1:12" x14ac:dyDescent="0.25">
      <c r="A283">
        <v>280</v>
      </c>
      <c r="B283">
        <v>20967</v>
      </c>
      <c r="C283" t="s">
        <v>928</v>
      </c>
      <c r="D283" t="s">
        <v>977</v>
      </c>
      <c r="E283" t="s">
        <v>929</v>
      </c>
      <c r="F283" t="s">
        <v>978</v>
      </c>
      <c r="G283" t="s">
        <v>18</v>
      </c>
      <c r="H283" t="s">
        <v>979</v>
      </c>
      <c r="I283" t="s">
        <v>980</v>
      </c>
      <c r="J283" t="s">
        <v>63</v>
      </c>
      <c r="K283" s="2">
        <v>47</v>
      </c>
      <c r="L283" s="2" t="str">
        <f>"06.03.13"</f>
        <v>06.03.13</v>
      </c>
    </row>
    <row r="284" spans="1:12" x14ac:dyDescent="0.25">
      <c r="A284">
        <v>281</v>
      </c>
      <c r="B284">
        <v>20968</v>
      </c>
      <c r="C284" t="s">
        <v>981</v>
      </c>
      <c r="D284" t="s">
        <v>982</v>
      </c>
      <c r="E284" t="s">
        <v>983</v>
      </c>
      <c r="F284" t="s">
        <v>984</v>
      </c>
      <c r="G284" t="s">
        <v>56</v>
      </c>
      <c r="H284" t="s">
        <v>117</v>
      </c>
      <c r="I284" t="s">
        <v>118</v>
      </c>
      <c r="J284" t="s">
        <v>63</v>
      </c>
      <c r="K284" s="2">
        <v>47</v>
      </c>
      <c r="L284" s="2" t="str">
        <f>"06.02.25"</f>
        <v>06.02.25</v>
      </c>
    </row>
    <row r="285" spans="1:12" x14ac:dyDescent="0.25">
      <c r="A285">
        <v>282</v>
      </c>
      <c r="B285">
        <v>20971</v>
      </c>
      <c r="C285" t="s">
        <v>280</v>
      </c>
      <c r="D285" t="s">
        <v>433</v>
      </c>
      <c r="E285" t="s">
        <v>282</v>
      </c>
      <c r="F285" t="s">
        <v>435</v>
      </c>
      <c r="G285" t="s">
        <v>18</v>
      </c>
      <c r="H285" t="s">
        <v>863</v>
      </c>
      <c r="I285" t="s">
        <v>864</v>
      </c>
      <c r="J285" t="s">
        <v>21</v>
      </c>
      <c r="K285" s="2">
        <v>56</v>
      </c>
      <c r="L285" s="2" t="str">
        <f>"06.09.11"</f>
        <v>06.09.11</v>
      </c>
    </row>
    <row r="286" spans="1:12" x14ac:dyDescent="0.25">
      <c r="A286">
        <v>283</v>
      </c>
      <c r="B286">
        <v>20973</v>
      </c>
      <c r="C286" t="s">
        <v>985</v>
      </c>
      <c r="D286" t="s">
        <v>544</v>
      </c>
      <c r="E286" t="s">
        <v>986</v>
      </c>
      <c r="F286" t="s">
        <v>546</v>
      </c>
      <c r="G286" t="s">
        <v>18</v>
      </c>
      <c r="H286" t="s">
        <v>495</v>
      </c>
      <c r="I286" t="s">
        <v>496</v>
      </c>
      <c r="J286" t="s">
        <v>21</v>
      </c>
      <c r="K286" s="2">
        <v>26</v>
      </c>
      <c r="L286" s="2" t="str">
        <f>"06.01.27"</f>
        <v>06.01.27</v>
      </c>
    </row>
    <row r="287" spans="1:12" x14ac:dyDescent="0.25">
      <c r="A287">
        <v>284</v>
      </c>
      <c r="B287">
        <v>20975</v>
      </c>
      <c r="C287" t="s">
        <v>187</v>
      </c>
      <c r="D287" t="s">
        <v>445</v>
      </c>
      <c r="E287" t="s">
        <v>189</v>
      </c>
      <c r="F287" t="s">
        <v>447</v>
      </c>
      <c r="G287" t="s">
        <v>18</v>
      </c>
      <c r="H287" t="s">
        <v>987</v>
      </c>
      <c r="I287" t="s">
        <v>988</v>
      </c>
      <c r="J287" t="s">
        <v>86</v>
      </c>
      <c r="K287" s="2">
        <v>53</v>
      </c>
      <c r="L287" s="2" t="str">
        <f>"20.10.24"</f>
        <v>20.10.24</v>
      </c>
    </row>
    <row r="288" spans="1:12" x14ac:dyDescent="0.25">
      <c r="A288">
        <v>285</v>
      </c>
      <c r="B288">
        <v>20977</v>
      </c>
      <c r="C288" t="s">
        <v>989</v>
      </c>
      <c r="D288" t="s">
        <v>419</v>
      </c>
      <c r="E288" t="s">
        <v>990</v>
      </c>
      <c r="F288" t="s">
        <v>421</v>
      </c>
      <c r="G288" t="s">
        <v>18</v>
      </c>
      <c r="H288" t="s">
        <v>236</v>
      </c>
      <c r="I288" t="s">
        <v>237</v>
      </c>
      <c r="J288" t="s">
        <v>63</v>
      </c>
      <c r="K288" s="2">
        <v>34</v>
      </c>
      <c r="L288" s="2" t="str">
        <f>"06.00.08"</f>
        <v>06.00.08</v>
      </c>
    </row>
    <row r="289" spans="1:12" x14ac:dyDescent="0.25">
      <c r="A289">
        <v>286</v>
      </c>
      <c r="B289">
        <v>20979</v>
      </c>
      <c r="C289" t="s">
        <v>991</v>
      </c>
      <c r="D289" t="s">
        <v>992</v>
      </c>
      <c r="E289" t="s">
        <v>993</v>
      </c>
      <c r="F289" t="s">
        <v>994</v>
      </c>
      <c r="G289" t="s">
        <v>56</v>
      </c>
      <c r="H289" t="s">
        <v>627</v>
      </c>
      <c r="I289" t="s">
        <v>628</v>
      </c>
      <c r="J289" t="s">
        <v>21</v>
      </c>
      <c r="K289" s="2">
        <v>53</v>
      </c>
      <c r="L289" s="2" t="str">
        <f>"05.11.11"</f>
        <v>05.11.11</v>
      </c>
    </row>
    <row r="290" spans="1:12" x14ac:dyDescent="0.25">
      <c r="A290">
        <v>287</v>
      </c>
      <c r="B290">
        <v>20981</v>
      </c>
      <c r="C290" t="s">
        <v>539</v>
      </c>
      <c r="D290" t="s">
        <v>995</v>
      </c>
      <c r="E290" t="s">
        <v>540</v>
      </c>
      <c r="F290" t="s">
        <v>996</v>
      </c>
      <c r="G290" t="s">
        <v>18</v>
      </c>
      <c r="H290" t="s">
        <v>426</v>
      </c>
      <c r="I290" t="s">
        <v>437</v>
      </c>
      <c r="J290" t="s">
        <v>21</v>
      </c>
      <c r="K290" s="2">
        <v>52</v>
      </c>
      <c r="L290" s="2" t="str">
        <f>"05.11.11"</f>
        <v>05.11.11</v>
      </c>
    </row>
    <row r="291" spans="1:12" x14ac:dyDescent="0.25">
      <c r="A291">
        <v>288</v>
      </c>
      <c r="B291">
        <v>20982</v>
      </c>
      <c r="C291" t="s">
        <v>997</v>
      </c>
      <c r="D291" t="s">
        <v>109</v>
      </c>
      <c r="E291" t="s">
        <v>998</v>
      </c>
      <c r="F291" t="s">
        <v>111</v>
      </c>
      <c r="G291" t="s">
        <v>18</v>
      </c>
      <c r="H291" t="s">
        <v>106</v>
      </c>
      <c r="I291" t="s">
        <v>107</v>
      </c>
      <c r="J291" t="s">
        <v>21</v>
      </c>
      <c r="K291" s="2">
        <v>47</v>
      </c>
      <c r="L291" s="2" t="str">
        <f>"05.11.11"</f>
        <v>05.11.11</v>
      </c>
    </row>
    <row r="292" spans="1:12" x14ac:dyDescent="0.25">
      <c r="A292">
        <v>289</v>
      </c>
      <c r="B292">
        <v>20983</v>
      </c>
      <c r="C292" t="s">
        <v>999</v>
      </c>
      <c r="D292" t="s">
        <v>761</v>
      </c>
      <c r="E292" t="s">
        <v>1000</v>
      </c>
      <c r="F292" t="s">
        <v>763</v>
      </c>
      <c r="G292" t="s">
        <v>18</v>
      </c>
      <c r="H292" t="s">
        <v>1001</v>
      </c>
      <c r="I292" t="s">
        <v>351</v>
      </c>
      <c r="J292" t="s">
        <v>21</v>
      </c>
      <c r="K292" s="2">
        <v>45</v>
      </c>
      <c r="L292" s="2" t="str">
        <f>"05.10.10"</f>
        <v>05.10.10</v>
      </c>
    </row>
    <row r="293" spans="1:12" x14ac:dyDescent="0.25">
      <c r="A293">
        <v>290</v>
      </c>
      <c r="B293">
        <v>20988</v>
      </c>
      <c r="C293" t="s">
        <v>396</v>
      </c>
      <c r="D293" t="s">
        <v>253</v>
      </c>
      <c r="E293" t="s">
        <v>398</v>
      </c>
      <c r="F293" t="s">
        <v>255</v>
      </c>
      <c r="G293" t="s">
        <v>18</v>
      </c>
      <c r="H293" t="s">
        <v>426</v>
      </c>
      <c r="I293" t="s">
        <v>1002</v>
      </c>
      <c r="J293" t="s">
        <v>21</v>
      </c>
      <c r="K293" s="2">
        <v>48</v>
      </c>
      <c r="L293" s="2" t="str">
        <f>"05.08.13"</f>
        <v>05.08.13</v>
      </c>
    </row>
    <row r="294" spans="1:12" x14ac:dyDescent="0.25">
      <c r="A294">
        <v>291</v>
      </c>
      <c r="B294">
        <v>20989</v>
      </c>
      <c r="C294" t="s">
        <v>1003</v>
      </c>
      <c r="D294" t="s">
        <v>65</v>
      </c>
      <c r="E294" t="s">
        <v>1004</v>
      </c>
      <c r="F294" t="s">
        <v>67</v>
      </c>
      <c r="G294" t="s">
        <v>18</v>
      </c>
      <c r="H294" t="s">
        <v>50</v>
      </c>
      <c r="I294" t="s">
        <v>51</v>
      </c>
      <c r="J294" t="s">
        <v>21</v>
      </c>
      <c r="K294" s="2">
        <v>56</v>
      </c>
      <c r="L294" s="2" t="str">
        <f>"05.08.13"</f>
        <v>05.08.13</v>
      </c>
    </row>
    <row r="295" spans="1:12" x14ac:dyDescent="0.25">
      <c r="A295">
        <v>292</v>
      </c>
      <c r="B295">
        <v>20994</v>
      </c>
      <c r="C295" t="s">
        <v>1005</v>
      </c>
      <c r="D295" t="s">
        <v>1006</v>
      </c>
      <c r="E295" t="s">
        <v>1007</v>
      </c>
      <c r="F295" t="s">
        <v>1008</v>
      </c>
      <c r="G295" t="s">
        <v>56</v>
      </c>
      <c r="H295" t="s">
        <v>1009</v>
      </c>
      <c r="I295" t="s">
        <v>1010</v>
      </c>
      <c r="J295" t="s">
        <v>63</v>
      </c>
      <c r="K295" s="2">
        <v>33</v>
      </c>
      <c r="L295" s="2" t="str">
        <f>"05.07.24"</f>
        <v>05.07.24</v>
      </c>
    </row>
    <row r="296" spans="1:12" x14ac:dyDescent="0.25">
      <c r="A296">
        <v>293</v>
      </c>
      <c r="B296">
        <v>20998</v>
      </c>
      <c r="C296" t="s">
        <v>539</v>
      </c>
      <c r="D296" t="s">
        <v>606</v>
      </c>
      <c r="E296" t="s">
        <v>540</v>
      </c>
      <c r="F296" t="s">
        <v>607</v>
      </c>
      <c r="G296" t="s">
        <v>18</v>
      </c>
      <c r="H296" t="s">
        <v>769</v>
      </c>
      <c r="I296" t="s">
        <v>27</v>
      </c>
      <c r="J296" t="s">
        <v>21</v>
      </c>
      <c r="K296" s="2">
        <v>52</v>
      </c>
      <c r="L296" s="2" t="str">
        <f>"05.05.13"</f>
        <v>05.05.13</v>
      </c>
    </row>
    <row r="297" spans="1:12" x14ac:dyDescent="0.25">
      <c r="A297">
        <v>294</v>
      </c>
      <c r="B297">
        <v>20999</v>
      </c>
      <c r="C297" t="s">
        <v>1011</v>
      </c>
      <c r="D297" t="s">
        <v>184</v>
      </c>
      <c r="E297" t="s">
        <v>1012</v>
      </c>
      <c r="F297" t="s">
        <v>186</v>
      </c>
      <c r="G297" t="s">
        <v>18</v>
      </c>
      <c r="H297" t="s">
        <v>487</v>
      </c>
      <c r="I297" t="s">
        <v>488</v>
      </c>
      <c r="J297" t="s">
        <v>21</v>
      </c>
      <c r="K297" s="2">
        <v>44</v>
      </c>
      <c r="L297" s="2" t="str">
        <f>"05.05.01"</f>
        <v>05.05.01</v>
      </c>
    </row>
    <row r="298" spans="1:12" x14ac:dyDescent="0.25">
      <c r="A298">
        <v>295</v>
      </c>
      <c r="B298">
        <v>21002</v>
      </c>
      <c r="C298" t="s">
        <v>600</v>
      </c>
      <c r="D298" t="s">
        <v>1013</v>
      </c>
      <c r="E298" t="s">
        <v>601</v>
      </c>
      <c r="F298" t="s">
        <v>1014</v>
      </c>
      <c r="G298" t="s">
        <v>18</v>
      </c>
      <c r="H298" t="s">
        <v>592</v>
      </c>
      <c r="I298" t="s">
        <v>593</v>
      </c>
      <c r="J298" t="s">
        <v>21</v>
      </c>
      <c r="K298" s="2">
        <v>25</v>
      </c>
      <c r="L298" s="2" t="str">
        <f>"05.04.11"</f>
        <v>05.04.11</v>
      </c>
    </row>
    <row r="299" spans="1:12" x14ac:dyDescent="0.25">
      <c r="A299">
        <v>296</v>
      </c>
      <c r="B299">
        <v>21003</v>
      </c>
      <c r="C299" t="s">
        <v>1015</v>
      </c>
      <c r="D299" t="s">
        <v>1016</v>
      </c>
      <c r="E299" t="s">
        <v>1017</v>
      </c>
      <c r="F299" t="s">
        <v>1018</v>
      </c>
      <c r="G299" t="s">
        <v>18</v>
      </c>
      <c r="H299" t="s">
        <v>127</v>
      </c>
      <c r="I299" t="s">
        <v>128</v>
      </c>
      <c r="J299" t="s">
        <v>21</v>
      </c>
      <c r="K299" s="2">
        <v>37</v>
      </c>
      <c r="L299" s="2" t="str">
        <f>"05.04.12"</f>
        <v>05.04.12</v>
      </c>
    </row>
    <row r="300" spans="1:12" x14ac:dyDescent="0.25">
      <c r="A300">
        <v>297</v>
      </c>
      <c r="B300">
        <v>21006</v>
      </c>
      <c r="C300" t="s">
        <v>1019</v>
      </c>
      <c r="D300" t="s">
        <v>586</v>
      </c>
      <c r="E300" t="s">
        <v>1020</v>
      </c>
      <c r="F300" t="s">
        <v>587</v>
      </c>
      <c r="G300" t="s">
        <v>18</v>
      </c>
      <c r="H300" t="s">
        <v>106</v>
      </c>
      <c r="I300" t="s">
        <v>107</v>
      </c>
      <c r="J300" t="s">
        <v>21</v>
      </c>
      <c r="K300" s="2">
        <v>57</v>
      </c>
      <c r="L300" s="2" t="str">
        <f>"05.02.29"</f>
        <v>05.02.29</v>
      </c>
    </row>
    <row r="301" spans="1:12" x14ac:dyDescent="0.25">
      <c r="A301">
        <v>298</v>
      </c>
      <c r="B301">
        <v>21010</v>
      </c>
      <c r="C301" t="s">
        <v>139</v>
      </c>
      <c r="D301" t="s">
        <v>792</v>
      </c>
      <c r="E301" t="s">
        <v>141</v>
      </c>
      <c r="F301" t="s">
        <v>794</v>
      </c>
      <c r="G301" t="s">
        <v>18</v>
      </c>
      <c r="H301" t="s">
        <v>57</v>
      </c>
      <c r="I301" t="s">
        <v>58</v>
      </c>
      <c r="J301" t="s">
        <v>21</v>
      </c>
      <c r="K301" s="2">
        <v>33</v>
      </c>
      <c r="L301" s="2" t="str">
        <f>"05.02.13"</f>
        <v>05.02.13</v>
      </c>
    </row>
    <row r="302" spans="1:12" x14ac:dyDescent="0.25">
      <c r="A302">
        <v>299</v>
      </c>
      <c r="B302">
        <v>21012</v>
      </c>
      <c r="C302" t="s">
        <v>1021</v>
      </c>
      <c r="D302" t="s">
        <v>188</v>
      </c>
      <c r="E302" t="s">
        <v>1022</v>
      </c>
      <c r="F302" t="s">
        <v>190</v>
      </c>
      <c r="G302" t="s">
        <v>18</v>
      </c>
      <c r="H302" t="s">
        <v>963</v>
      </c>
      <c r="I302" t="s">
        <v>964</v>
      </c>
      <c r="J302" t="s">
        <v>21</v>
      </c>
      <c r="K302" s="2">
        <v>50</v>
      </c>
      <c r="L302" s="2" t="str">
        <f>"05.01.12"</f>
        <v>05.01.12</v>
      </c>
    </row>
    <row r="303" spans="1:12" x14ac:dyDescent="0.25">
      <c r="A303">
        <v>300</v>
      </c>
      <c r="B303">
        <v>21016</v>
      </c>
      <c r="C303" t="s">
        <v>1023</v>
      </c>
      <c r="D303" t="s">
        <v>1024</v>
      </c>
      <c r="E303" t="s">
        <v>1025</v>
      </c>
      <c r="F303" t="s">
        <v>1026</v>
      </c>
      <c r="G303" t="s">
        <v>18</v>
      </c>
      <c r="H303" t="s">
        <v>426</v>
      </c>
      <c r="I303" t="s">
        <v>1002</v>
      </c>
      <c r="J303" t="s">
        <v>21</v>
      </c>
      <c r="K303" s="2">
        <v>47</v>
      </c>
      <c r="L303" s="2" t="str">
        <f>"05.00.28"</f>
        <v>05.00.28</v>
      </c>
    </row>
    <row r="304" spans="1:12" x14ac:dyDescent="0.25">
      <c r="A304">
        <v>301</v>
      </c>
      <c r="B304">
        <v>21017</v>
      </c>
      <c r="C304" t="s">
        <v>119</v>
      </c>
      <c r="D304" t="s">
        <v>899</v>
      </c>
      <c r="E304" t="s">
        <v>121</v>
      </c>
      <c r="F304" t="s">
        <v>901</v>
      </c>
      <c r="G304" t="s">
        <v>18</v>
      </c>
      <c r="H304" t="s">
        <v>131</v>
      </c>
      <c r="I304" t="s">
        <v>132</v>
      </c>
      <c r="J304" t="s">
        <v>21</v>
      </c>
      <c r="K304" s="2">
        <v>52</v>
      </c>
      <c r="L304" s="2" t="str">
        <f>"05.00.22"</f>
        <v>05.00.22</v>
      </c>
    </row>
    <row r="305" spans="1:12" x14ac:dyDescent="0.25">
      <c r="A305">
        <v>302</v>
      </c>
      <c r="B305">
        <v>21020</v>
      </c>
      <c r="C305" t="s">
        <v>133</v>
      </c>
      <c r="D305" t="s">
        <v>848</v>
      </c>
      <c r="E305" t="s">
        <v>135</v>
      </c>
      <c r="F305" t="s">
        <v>849</v>
      </c>
      <c r="G305" t="s">
        <v>18</v>
      </c>
      <c r="H305" t="s">
        <v>610</v>
      </c>
      <c r="I305" t="s">
        <v>611</v>
      </c>
      <c r="J305" t="s">
        <v>21</v>
      </c>
      <c r="K305" s="2">
        <v>30</v>
      </c>
      <c r="L305" s="2" t="str">
        <f>"05.00.01"</f>
        <v>05.00.01</v>
      </c>
    </row>
    <row r="306" spans="1:12" x14ac:dyDescent="0.25">
      <c r="A306">
        <v>303</v>
      </c>
      <c r="B306">
        <v>21082</v>
      </c>
      <c r="C306" t="s">
        <v>1027</v>
      </c>
      <c r="D306" t="s">
        <v>1028</v>
      </c>
      <c r="E306" t="s">
        <v>1029</v>
      </c>
      <c r="F306" t="s">
        <v>1030</v>
      </c>
      <c r="G306" t="s">
        <v>18</v>
      </c>
      <c r="H306" t="s">
        <v>769</v>
      </c>
      <c r="I306" t="s">
        <v>27</v>
      </c>
      <c r="J306" t="s">
        <v>21</v>
      </c>
      <c r="K306" s="2">
        <v>58</v>
      </c>
      <c r="L306" s="2" t="str">
        <f>"04.11.05"</f>
        <v>04.11.05</v>
      </c>
    </row>
    <row r="307" spans="1:12" x14ac:dyDescent="0.25">
      <c r="A307">
        <v>304</v>
      </c>
      <c r="B307">
        <v>21090</v>
      </c>
      <c r="C307" t="s">
        <v>1031</v>
      </c>
      <c r="D307" t="s">
        <v>1032</v>
      </c>
      <c r="E307" t="s">
        <v>1033</v>
      </c>
      <c r="F307" t="s">
        <v>1034</v>
      </c>
      <c r="G307" t="s">
        <v>18</v>
      </c>
      <c r="H307" t="s">
        <v>426</v>
      </c>
      <c r="I307" t="s">
        <v>437</v>
      </c>
      <c r="J307" t="s">
        <v>21</v>
      </c>
      <c r="K307" s="2">
        <v>53</v>
      </c>
      <c r="L307" s="2" t="str">
        <f>"04.09.23"</f>
        <v>04.09.23</v>
      </c>
    </row>
    <row r="308" spans="1:12" x14ac:dyDescent="0.25">
      <c r="A308">
        <v>305</v>
      </c>
      <c r="B308">
        <v>21094</v>
      </c>
      <c r="C308" t="s">
        <v>1035</v>
      </c>
      <c r="D308" t="s">
        <v>1036</v>
      </c>
      <c r="E308" t="s">
        <v>1037</v>
      </c>
      <c r="F308" t="s">
        <v>1038</v>
      </c>
      <c r="G308" t="s">
        <v>56</v>
      </c>
      <c r="H308" t="s">
        <v>1039</v>
      </c>
      <c r="I308" t="s">
        <v>1040</v>
      </c>
      <c r="J308" t="s">
        <v>63</v>
      </c>
      <c r="K308" s="2">
        <v>32</v>
      </c>
      <c r="L308" s="2" t="str">
        <f>"04.08.09"</f>
        <v>04.08.09</v>
      </c>
    </row>
    <row r="309" spans="1:12" x14ac:dyDescent="0.25">
      <c r="A309">
        <v>306</v>
      </c>
      <c r="B309">
        <v>21095</v>
      </c>
      <c r="C309" t="s">
        <v>1041</v>
      </c>
      <c r="D309" t="s">
        <v>1042</v>
      </c>
      <c r="E309" t="s">
        <v>1043</v>
      </c>
      <c r="F309" t="s">
        <v>1044</v>
      </c>
      <c r="G309" t="s">
        <v>18</v>
      </c>
      <c r="H309" t="s">
        <v>137</v>
      </c>
      <c r="I309" t="s">
        <v>138</v>
      </c>
      <c r="J309" t="s">
        <v>21</v>
      </c>
      <c r="K309" s="2">
        <v>57</v>
      </c>
      <c r="L309" s="2" t="str">
        <f>"04.08.10"</f>
        <v>04.08.10</v>
      </c>
    </row>
    <row r="310" spans="1:12" x14ac:dyDescent="0.25">
      <c r="A310">
        <v>307</v>
      </c>
      <c r="B310">
        <v>21096</v>
      </c>
      <c r="C310" t="s">
        <v>228</v>
      </c>
      <c r="D310" t="s">
        <v>261</v>
      </c>
      <c r="E310" t="s">
        <v>229</v>
      </c>
      <c r="F310" t="s">
        <v>263</v>
      </c>
      <c r="G310" t="s">
        <v>18</v>
      </c>
      <c r="H310" t="s">
        <v>883</v>
      </c>
      <c r="I310" t="s">
        <v>884</v>
      </c>
      <c r="J310" t="s">
        <v>21</v>
      </c>
      <c r="K310" s="2">
        <v>42</v>
      </c>
      <c r="L310" s="2" t="str">
        <f>"04.08.10"</f>
        <v>04.08.10</v>
      </c>
    </row>
    <row r="311" spans="1:12" x14ac:dyDescent="0.25">
      <c r="A311">
        <v>308</v>
      </c>
      <c r="B311">
        <v>21097</v>
      </c>
      <c r="C311" t="s">
        <v>1045</v>
      </c>
      <c r="D311" t="s">
        <v>636</v>
      </c>
      <c r="E311" t="s">
        <v>1046</v>
      </c>
      <c r="F311" t="s">
        <v>638</v>
      </c>
      <c r="G311" t="s">
        <v>18</v>
      </c>
      <c r="H311" t="s">
        <v>1047</v>
      </c>
      <c r="I311" t="s">
        <v>1048</v>
      </c>
      <c r="J311" t="s">
        <v>21</v>
      </c>
      <c r="K311" s="2">
        <v>52</v>
      </c>
      <c r="L311" s="2" t="str">
        <f>"04.07.11"</f>
        <v>04.07.11</v>
      </c>
    </row>
    <row r="312" spans="1:12" x14ac:dyDescent="0.25">
      <c r="A312">
        <v>309</v>
      </c>
      <c r="B312">
        <v>21100</v>
      </c>
      <c r="C312" t="s">
        <v>1049</v>
      </c>
      <c r="D312" t="s">
        <v>1050</v>
      </c>
      <c r="E312" t="s">
        <v>1051</v>
      </c>
      <c r="F312" t="s">
        <v>1052</v>
      </c>
      <c r="G312" t="s">
        <v>18</v>
      </c>
      <c r="H312" t="s">
        <v>855</v>
      </c>
      <c r="I312" t="s">
        <v>856</v>
      </c>
      <c r="J312" t="s">
        <v>21</v>
      </c>
      <c r="K312" s="2">
        <v>45</v>
      </c>
      <c r="L312" s="2" t="str">
        <f>"04.07.12"</f>
        <v>04.07.12</v>
      </c>
    </row>
    <row r="313" spans="1:12" x14ac:dyDescent="0.25">
      <c r="A313">
        <v>310</v>
      </c>
      <c r="B313">
        <v>21104</v>
      </c>
      <c r="C313" t="s">
        <v>912</v>
      </c>
      <c r="D313" t="s">
        <v>146</v>
      </c>
      <c r="E313" t="s">
        <v>914</v>
      </c>
      <c r="F313" t="s">
        <v>148</v>
      </c>
      <c r="G313" t="s">
        <v>18</v>
      </c>
      <c r="H313" t="s">
        <v>97</v>
      </c>
      <c r="I313" t="s">
        <v>39</v>
      </c>
      <c r="J313" t="s">
        <v>21</v>
      </c>
      <c r="K313" s="2">
        <v>37</v>
      </c>
      <c r="L313" s="2" t="str">
        <f>"04.07.12"</f>
        <v>04.07.12</v>
      </c>
    </row>
    <row r="314" spans="1:12" x14ac:dyDescent="0.25">
      <c r="A314">
        <v>311</v>
      </c>
      <c r="B314">
        <v>21112</v>
      </c>
      <c r="C314" t="s">
        <v>119</v>
      </c>
      <c r="D314" t="s">
        <v>261</v>
      </c>
      <c r="E314" t="s">
        <v>121</v>
      </c>
      <c r="F314" t="s">
        <v>263</v>
      </c>
      <c r="G314" t="s">
        <v>18</v>
      </c>
      <c r="H314" t="s">
        <v>618</v>
      </c>
      <c r="I314" t="s">
        <v>27</v>
      </c>
      <c r="J314" t="s">
        <v>21</v>
      </c>
      <c r="K314" s="2">
        <v>24</v>
      </c>
      <c r="L314" s="2" t="str">
        <f>"04.06.22"</f>
        <v>04.06.22</v>
      </c>
    </row>
    <row r="315" spans="1:12" x14ac:dyDescent="0.25">
      <c r="A315">
        <v>312</v>
      </c>
      <c r="B315">
        <v>21117</v>
      </c>
      <c r="C315" t="s">
        <v>957</v>
      </c>
      <c r="D315" t="s">
        <v>47</v>
      </c>
      <c r="E315" t="s">
        <v>958</v>
      </c>
      <c r="F315" t="s">
        <v>49</v>
      </c>
      <c r="G315" t="s">
        <v>18</v>
      </c>
      <c r="H315" t="s">
        <v>1053</v>
      </c>
      <c r="I315" t="s">
        <v>265</v>
      </c>
      <c r="J315" t="s">
        <v>21</v>
      </c>
      <c r="K315" s="2">
        <v>33</v>
      </c>
      <c r="L315" s="2" t="str">
        <f>"04.05.24"</f>
        <v>04.05.24</v>
      </c>
    </row>
    <row r="316" spans="1:12" x14ac:dyDescent="0.25">
      <c r="A316">
        <v>313</v>
      </c>
      <c r="B316">
        <v>21119</v>
      </c>
      <c r="C316" t="s">
        <v>1054</v>
      </c>
      <c r="D316" t="s">
        <v>1055</v>
      </c>
      <c r="E316" t="s">
        <v>1056</v>
      </c>
      <c r="F316" t="s">
        <v>1057</v>
      </c>
      <c r="G316" t="s">
        <v>18</v>
      </c>
      <c r="H316" t="s">
        <v>436</v>
      </c>
      <c r="I316" t="s">
        <v>437</v>
      </c>
      <c r="J316" t="s">
        <v>21</v>
      </c>
      <c r="K316" s="2">
        <v>33</v>
      </c>
      <c r="L316" s="2" t="str">
        <f>"04.05.13"</f>
        <v>04.05.13</v>
      </c>
    </row>
    <row r="317" spans="1:12" x14ac:dyDescent="0.25">
      <c r="A317">
        <v>314</v>
      </c>
      <c r="B317">
        <v>21121</v>
      </c>
      <c r="C317" t="s">
        <v>1058</v>
      </c>
      <c r="D317" t="s">
        <v>1059</v>
      </c>
      <c r="E317" t="s">
        <v>1060</v>
      </c>
      <c r="F317" t="s">
        <v>1061</v>
      </c>
      <c r="G317" t="s">
        <v>18</v>
      </c>
      <c r="H317" t="s">
        <v>106</v>
      </c>
      <c r="I317" t="s">
        <v>107</v>
      </c>
      <c r="J317" t="s">
        <v>21</v>
      </c>
      <c r="K317" s="2">
        <v>52</v>
      </c>
      <c r="L317" s="2" t="str">
        <f>"04.03.18"</f>
        <v>04.03.18</v>
      </c>
    </row>
    <row r="318" spans="1:12" x14ac:dyDescent="0.25">
      <c r="A318">
        <v>315</v>
      </c>
      <c r="B318">
        <v>21125</v>
      </c>
      <c r="C318" t="s">
        <v>1062</v>
      </c>
      <c r="D318" t="s">
        <v>1063</v>
      </c>
      <c r="E318" t="s">
        <v>1064</v>
      </c>
      <c r="F318" t="s">
        <v>1065</v>
      </c>
      <c r="G318" t="s">
        <v>18</v>
      </c>
      <c r="H318" t="s">
        <v>442</v>
      </c>
      <c r="I318" t="s">
        <v>443</v>
      </c>
      <c r="J318" t="s">
        <v>21</v>
      </c>
      <c r="K318" s="2">
        <v>56</v>
      </c>
      <c r="L318" s="2" t="str">
        <f>"04.04.10"</f>
        <v>04.04.10</v>
      </c>
    </row>
    <row r="319" spans="1:12" x14ac:dyDescent="0.25">
      <c r="A319">
        <v>316</v>
      </c>
      <c r="B319">
        <v>21126</v>
      </c>
      <c r="C319" t="s">
        <v>34</v>
      </c>
      <c r="D319" t="s">
        <v>146</v>
      </c>
      <c r="E319" t="s">
        <v>36</v>
      </c>
      <c r="F319" t="s">
        <v>148</v>
      </c>
      <c r="G319" t="s">
        <v>18</v>
      </c>
      <c r="H319" t="s">
        <v>346</v>
      </c>
      <c r="I319" t="s">
        <v>347</v>
      </c>
      <c r="J319" t="s">
        <v>21</v>
      </c>
      <c r="K319" s="2">
        <v>27</v>
      </c>
      <c r="L319" s="2" t="str">
        <f>"04.04.12"</f>
        <v>04.04.12</v>
      </c>
    </row>
    <row r="320" spans="1:12" x14ac:dyDescent="0.25">
      <c r="A320">
        <v>317</v>
      </c>
      <c r="B320">
        <v>21128</v>
      </c>
      <c r="C320" t="s">
        <v>1066</v>
      </c>
      <c r="D320" t="s">
        <v>1067</v>
      </c>
      <c r="E320" t="s">
        <v>1068</v>
      </c>
      <c r="F320" t="s">
        <v>1069</v>
      </c>
      <c r="G320" t="s">
        <v>18</v>
      </c>
      <c r="H320" t="s">
        <v>226</v>
      </c>
      <c r="I320" t="s">
        <v>227</v>
      </c>
      <c r="J320" t="s">
        <v>63</v>
      </c>
      <c r="K320" s="2">
        <v>32</v>
      </c>
      <c r="L320" s="2" t="str">
        <f>"09.05.17"</f>
        <v>09.05.17</v>
      </c>
    </row>
    <row r="321" spans="1:12" x14ac:dyDescent="0.25">
      <c r="A321">
        <v>318</v>
      </c>
      <c r="B321">
        <v>21131</v>
      </c>
      <c r="C321" t="s">
        <v>472</v>
      </c>
      <c r="D321" t="s">
        <v>608</v>
      </c>
      <c r="E321" t="s">
        <v>473</v>
      </c>
      <c r="F321" t="s">
        <v>609</v>
      </c>
      <c r="G321" t="s">
        <v>18</v>
      </c>
      <c r="H321" t="s">
        <v>264</v>
      </c>
      <c r="I321" t="s">
        <v>265</v>
      </c>
      <c r="J321" t="s">
        <v>21</v>
      </c>
      <c r="K321" s="2">
        <v>28</v>
      </c>
      <c r="L321" s="2" t="str">
        <f>"04.03.20"</f>
        <v>04.03.20</v>
      </c>
    </row>
    <row r="322" spans="1:12" x14ac:dyDescent="0.25">
      <c r="A322">
        <v>319</v>
      </c>
      <c r="B322">
        <v>21133</v>
      </c>
      <c r="C322" t="s">
        <v>1070</v>
      </c>
      <c r="D322" t="s">
        <v>1071</v>
      </c>
      <c r="E322" t="s">
        <v>1072</v>
      </c>
      <c r="F322" t="s">
        <v>1073</v>
      </c>
      <c r="G322" t="s">
        <v>18</v>
      </c>
      <c r="H322" t="s">
        <v>436</v>
      </c>
      <c r="I322" t="s">
        <v>437</v>
      </c>
      <c r="J322" t="s">
        <v>21</v>
      </c>
      <c r="K322" s="2">
        <v>47</v>
      </c>
      <c r="L322" s="2" t="str">
        <f>"04.03.02"</f>
        <v>04.03.02</v>
      </c>
    </row>
    <row r="323" spans="1:12" x14ac:dyDescent="0.25">
      <c r="A323">
        <v>320</v>
      </c>
      <c r="B323">
        <v>21134</v>
      </c>
      <c r="C323" t="s">
        <v>997</v>
      </c>
      <c r="D323" t="s">
        <v>261</v>
      </c>
      <c r="E323" t="s">
        <v>998</v>
      </c>
      <c r="F323" t="s">
        <v>263</v>
      </c>
      <c r="G323" t="s">
        <v>18</v>
      </c>
      <c r="H323" t="s">
        <v>442</v>
      </c>
      <c r="I323" t="s">
        <v>443</v>
      </c>
      <c r="J323" t="s">
        <v>21</v>
      </c>
      <c r="K323" s="2">
        <v>62</v>
      </c>
      <c r="L323" s="2" t="str">
        <f>"04.02.28"</f>
        <v>04.02.28</v>
      </c>
    </row>
    <row r="324" spans="1:12" x14ac:dyDescent="0.25">
      <c r="A324">
        <v>321</v>
      </c>
      <c r="B324">
        <v>21136</v>
      </c>
      <c r="C324" t="s">
        <v>187</v>
      </c>
      <c r="D324" t="s">
        <v>792</v>
      </c>
      <c r="E324" t="s">
        <v>189</v>
      </c>
      <c r="F324" t="s">
        <v>794</v>
      </c>
      <c r="G324" t="s">
        <v>18</v>
      </c>
      <c r="H324" t="s">
        <v>1053</v>
      </c>
      <c r="I324" t="s">
        <v>265</v>
      </c>
      <c r="J324" t="s">
        <v>21</v>
      </c>
      <c r="K324" s="2">
        <v>23</v>
      </c>
      <c r="L324" s="2" t="str">
        <f>"04.02.15"</f>
        <v>04.02.15</v>
      </c>
    </row>
    <row r="325" spans="1:12" x14ac:dyDescent="0.25">
      <c r="A325">
        <v>322</v>
      </c>
      <c r="B325">
        <v>21139</v>
      </c>
      <c r="C325" t="s">
        <v>1066</v>
      </c>
      <c r="D325" t="s">
        <v>1074</v>
      </c>
      <c r="E325" t="s">
        <v>1068</v>
      </c>
      <c r="F325" t="s">
        <v>1075</v>
      </c>
      <c r="G325" t="s">
        <v>18</v>
      </c>
      <c r="H325" t="s">
        <v>863</v>
      </c>
      <c r="I325" t="s">
        <v>864</v>
      </c>
      <c r="J325" t="s">
        <v>21</v>
      </c>
      <c r="K325" s="2">
        <v>24</v>
      </c>
      <c r="L325" s="2" t="str">
        <f>"04.02.15"</f>
        <v>04.02.15</v>
      </c>
    </row>
    <row r="326" spans="1:12" x14ac:dyDescent="0.25">
      <c r="A326">
        <v>323</v>
      </c>
      <c r="B326">
        <v>21140</v>
      </c>
      <c r="C326" t="s">
        <v>1076</v>
      </c>
      <c r="D326" t="s">
        <v>1077</v>
      </c>
      <c r="E326" t="s">
        <v>1078</v>
      </c>
      <c r="F326" t="s">
        <v>1079</v>
      </c>
      <c r="G326" t="s">
        <v>18</v>
      </c>
      <c r="H326" t="s">
        <v>1080</v>
      </c>
      <c r="I326" t="s">
        <v>1081</v>
      </c>
      <c r="J326" t="s">
        <v>86</v>
      </c>
      <c r="K326" s="2">
        <v>59</v>
      </c>
      <c r="L326" s="2" t="str">
        <f>"04.02.11"</f>
        <v>04.02.11</v>
      </c>
    </row>
    <row r="327" spans="1:12" x14ac:dyDescent="0.25">
      <c r="A327">
        <v>324</v>
      </c>
      <c r="B327">
        <v>21142</v>
      </c>
      <c r="C327" t="s">
        <v>1082</v>
      </c>
      <c r="D327" t="s">
        <v>423</v>
      </c>
      <c r="E327" t="s">
        <v>1083</v>
      </c>
      <c r="F327" t="s">
        <v>425</v>
      </c>
      <c r="G327" t="s">
        <v>18</v>
      </c>
      <c r="H327" t="s">
        <v>448</v>
      </c>
      <c r="I327" t="s">
        <v>27</v>
      </c>
      <c r="J327" t="s">
        <v>21</v>
      </c>
      <c r="K327" s="2">
        <v>41</v>
      </c>
      <c r="L327" s="2" t="str">
        <f>"05.01.01"</f>
        <v>05.01.01</v>
      </c>
    </row>
    <row r="328" spans="1:12" x14ac:dyDescent="0.25">
      <c r="A328">
        <v>325</v>
      </c>
      <c r="B328">
        <v>21143</v>
      </c>
      <c r="C328" t="s">
        <v>1084</v>
      </c>
      <c r="D328" t="s">
        <v>1085</v>
      </c>
      <c r="E328" t="s">
        <v>1086</v>
      </c>
      <c r="F328" t="s">
        <v>1087</v>
      </c>
      <c r="G328" t="s">
        <v>18</v>
      </c>
      <c r="H328" t="s">
        <v>1088</v>
      </c>
      <c r="I328" t="s">
        <v>437</v>
      </c>
      <c r="J328" t="s">
        <v>21</v>
      </c>
      <c r="K328" s="2">
        <v>51</v>
      </c>
      <c r="L328" s="2" t="str">
        <f>"04.01.10"</f>
        <v>04.01.10</v>
      </c>
    </row>
    <row r="329" spans="1:12" x14ac:dyDescent="0.25">
      <c r="A329">
        <v>326</v>
      </c>
      <c r="B329">
        <v>21149</v>
      </c>
      <c r="C329" t="s">
        <v>133</v>
      </c>
      <c r="D329" t="s">
        <v>608</v>
      </c>
      <c r="E329" t="s">
        <v>135</v>
      </c>
      <c r="F329" t="s">
        <v>609</v>
      </c>
      <c r="G329" t="s">
        <v>18</v>
      </c>
      <c r="H329" t="s">
        <v>1089</v>
      </c>
      <c r="I329" t="s">
        <v>1090</v>
      </c>
      <c r="J329" t="s">
        <v>21</v>
      </c>
      <c r="K329" s="2">
        <v>24</v>
      </c>
      <c r="L329" s="2" t="str">
        <f>"04.01.11"</f>
        <v>04.01.11</v>
      </c>
    </row>
    <row r="330" spans="1:12" x14ac:dyDescent="0.25">
      <c r="A330">
        <v>327</v>
      </c>
      <c r="B330">
        <v>21151</v>
      </c>
      <c r="C330" t="s">
        <v>1091</v>
      </c>
      <c r="D330" t="s">
        <v>377</v>
      </c>
      <c r="E330" t="s">
        <v>1092</v>
      </c>
      <c r="F330" t="s">
        <v>379</v>
      </c>
      <c r="G330" t="s">
        <v>18</v>
      </c>
      <c r="H330" t="s">
        <v>1093</v>
      </c>
      <c r="I330" t="s">
        <v>1094</v>
      </c>
      <c r="J330" t="s">
        <v>86</v>
      </c>
      <c r="K330" s="2">
        <v>34</v>
      </c>
      <c r="L330" s="2" t="str">
        <f>"04.00.25"</f>
        <v>04.00.25</v>
      </c>
    </row>
    <row r="331" spans="1:12" x14ac:dyDescent="0.25">
      <c r="A331">
        <v>328</v>
      </c>
      <c r="B331">
        <v>21152</v>
      </c>
      <c r="C331" t="s">
        <v>1095</v>
      </c>
      <c r="D331" t="s">
        <v>335</v>
      </c>
      <c r="E331" t="s">
        <v>1096</v>
      </c>
      <c r="F331" t="s">
        <v>337</v>
      </c>
      <c r="G331" t="s">
        <v>18</v>
      </c>
      <c r="H331" t="s">
        <v>788</v>
      </c>
      <c r="I331" t="s">
        <v>20</v>
      </c>
      <c r="J331" t="s">
        <v>63</v>
      </c>
      <c r="K331" s="2">
        <v>45</v>
      </c>
      <c r="L331" s="2" t="str">
        <f>"04.00.12"</f>
        <v>04.00.12</v>
      </c>
    </row>
    <row r="332" spans="1:12" x14ac:dyDescent="0.25">
      <c r="A332">
        <v>329</v>
      </c>
      <c r="B332">
        <v>21154</v>
      </c>
      <c r="C332" t="s">
        <v>1097</v>
      </c>
      <c r="D332" t="s">
        <v>269</v>
      </c>
      <c r="E332" t="s">
        <v>1098</v>
      </c>
      <c r="F332" t="s">
        <v>271</v>
      </c>
      <c r="G332" t="s">
        <v>18</v>
      </c>
      <c r="H332" t="s">
        <v>1099</v>
      </c>
      <c r="I332" t="s">
        <v>1100</v>
      </c>
      <c r="J332" t="s">
        <v>21</v>
      </c>
      <c r="K332" s="2">
        <v>31</v>
      </c>
      <c r="L332" s="2" t="str">
        <f>"03.11.28"</f>
        <v>03.11.28</v>
      </c>
    </row>
    <row r="333" spans="1:12" x14ac:dyDescent="0.25">
      <c r="A333">
        <v>330</v>
      </c>
      <c r="B333">
        <v>21156</v>
      </c>
      <c r="C333" t="s">
        <v>645</v>
      </c>
      <c r="D333" t="s">
        <v>94</v>
      </c>
      <c r="E333" t="s">
        <v>646</v>
      </c>
      <c r="F333" t="s">
        <v>96</v>
      </c>
      <c r="G333" t="s">
        <v>18</v>
      </c>
      <c r="H333" t="s">
        <v>769</v>
      </c>
      <c r="I333" t="s">
        <v>27</v>
      </c>
      <c r="J333" t="s">
        <v>21</v>
      </c>
      <c r="K333" s="2">
        <v>46</v>
      </c>
      <c r="L333" s="2" t="str">
        <f>"03.11.29"</f>
        <v>03.11.29</v>
      </c>
    </row>
    <row r="334" spans="1:12" x14ac:dyDescent="0.25">
      <c r="A334">
        <v>331</v>
      </c>
      <c r="B334">
        <v>21160</v>
      </c>
      <c r="C334" t="s">
        <v>149</v>
      </c>
      <c r="D334" t="s">
        <v>1101</v>
      </c>
      <c r="E334" t="s">
        <v>151</v>
      </c>
      <c r="F334" t="s">
        <v>1102</v>
      </c>
      <c r="G334" t="s">
        <v>18</v>
      </c>
      <c r="H334" t="s">
        <v>248</v>
      </c>
      <c r="I334" t="s">
        <v>249</v>
      </c>
      <c r="J334" t="s">
        <v>21</v>
      </c>
      <c r="K334" s="2">
        <v>28</v>
      </c>
      <c r="L334" s="2" t="str">
        <f>"03.11.24"</f>
        <v>03.11.24</v>
      </c>
    </row>
    <row r="335" spans="1:12" x14ac:dyDescent="0.25">
      <c r="A335">
        <v>332</v>
      </c>
      <c r="B335">
        <v>21171</v>
      </c>
      <c r="C335" t="s">
        <v>1103</v>
      </c>
      <c r="D335" t="s">
        <v>608</v>
      </c>
      <c r="E335" t="s">
        <v>1104</v>
      </c>
      <c r="F335" t="s">
        <v>609</v>
      </c>
      <c r="G335" t="s">
        <v>18</v>
      </c>
      <c r="H335" t="s">
        <v>436</v>
      </c>
      <c r="I335" t="s">
        <v>437</v>
      </c>
      <c r="J335" t="s">
        <v>21</v>
      </c>
      <c r="K335" s="2">
        <v>32</v>
      </c>
      <c r="L335" s="2" t="str">
        <f>"03.10.27"</f>
        <v>03.10.27</v>
      </c>
    </row>
    <row r="336" spans="1:12" x14ac:dyDescent="0.25">
      <c r="A336">
        <v>333</v>
      </c>
      <c r="B336">
        <v>21174</v>
      </c>
      <c r="C336" t="s">
        <v>139</v>
      </c>
      <c r="D336" t="s">
        <v>59</v>
      </c>
      <c r="E336" t="s">
        <v>141</v>
      </c>
      <c r="F336" t="s">
        <v>60</v>
      </c>
      <c r="G336" t="s">
        <v>18</v>
      </c>
      <c r="H336" t="s">
        <v>1105</v>
      </c>
      <c r="I336" t="s">
        <v>1106</v>
      </c>
      <c r="J336" t="s">
        <v>86</v>
      </c>
      <c r="K336" s="2">
        <v>53</v>
      </c>
      <c r="L336" s="2" t="str">
        <f>"03.10.26"</f>
        <v>03.10.26</v>
      </c>
    </row>
    <row r="337" spans="1:12" x14ac:dyDescent="0.25">
      <c r="A337">
        <v>334</v>
      </c>
      <c r="B337">
        <v>21175</v>
      </c>
      <c r="C337" t="s">
        <v>1107</v>
      </c>
      <c r="D337" t="s">
        <v>35</v>
      </c>
      <c r="E337" t="s">
        <v>1108</v>
      </c>
      <c r="F337" t="s">
        <v>37</v>
      </c>
      <c r="G337" t="s">
        <v>18</v>
      </c>
      <c r="H337" t="s">
        <v>436</v>
      </c>
      <c r="I337" t="s">
        <v>437</v>
      </c>
      <c r="J337" t="s">
        <v>21</v>
      </c>
      <c r="K337" s="2">
        <v>50</v>
      </c>
      <c r="L337" s="2" t="str">
        <f>"05.02.16"</f>
        <v>05.02.16</v>
      </c>
    </row>
    <row r="338" spans="1:12" x14ac:dyDescent="0.25">
      <c r="A338">
        <v>335</v>
      </c>
      <c r="B338">
        <v>21178</v>
      </c>
      <c r="C338" t="s">
        <v>1109</v>
      </c>
      <c r="D338" t="s">
        <v>1110</v>
      </c>
      <c r="E338" t="s">
        <v>1111</v>
      </c>
      <c r="F338" t="s">
        <v>1112</v>
      </c>
      <c r="G338" t="s">
        <v>18</v>
      </c>
      <c r="H338" t="s">
        <v>1113</v>
      </c>
      <c r="I338" t="s">
        <v>1114</v>
      </c>
      <c r="J338" t="s">
        <v>86</v>
      </c>
      <c r="K338" s="2">
        <v>41</v>
      </c>
      <c r="L338" s="2" t="str">
        <f>"03.10.12"</f>
        <v>03.10.12</v>
      </c>
    </row>
    <row r="339" spans="1:12" x14ac:dyDescent="0.25">
      <c r="A339">
        <v>336</v>
      </c>
      <c r="B339">
        <v>21183</v>
      </c>
      <c r="C339" t="s">
        <v>1115</v>
      </c>
      <c r="D339" t="s">
        <v>1116</v>
      </c>
      <c r="E339" t="s">
        <v>1117</v>
      </c>
      <c r="F339" t="s">
        <v>1118</v>
      </c>
      <c r="G339" t="s">
        <v>18</v>
      </c>
      <c r="H339" t="s">
        <v>436</v>
      </c>
      <c r="I339" t="s">
        <v>437</v>
      </c>
      <c r="J339" t="s">
        <v>21</v>
      </c>
      <c r="K339" s="2">
        <v>34</v>
      </c>
      <c r="L339" s="2" t="str">
        <f>"03.09.12"</f>
        <v>03.09.12</v>
      </c>
    </row>
    <row r="340" spans="1:12" x14ac:dyDescent="0.25">
      <c r="A340">
        <v>337</v>
      </c>
      <c r="B340">
        <v>21184</v>
      </c>
      <c r="C340" t="s">
        <v>1119</v>
      </c>
      <c r="D340" t="s">
        <v>1120</v>
      </c>
      <c r="E340" t="s">
        <v>1121</v>
      </c>
      <c r="F340" t="s">
        <v>1122</v>
      </c>
      <c r="G340" t="s">
        <v>18</v>
      </c>
      <c r="H340" t="s">
        <v>920</v>
      </c>
      <c r="I340" t="s">
        <v>921</v>
      </c>
      <c r="J340" t="s">
        <v>21</v>
      </c>
      <c r="K340" s="2">
        <v>54</v>
      </c>
      <c r="L340" s="2" t="str">
        <f>"03.08.06"</f>
        <v>03.08.06</v>
      </c>
    </row>
    <row r="341" spans="1:12" x14ac:dyDescent="0.25">
      <c r="A341">
        <v>338</v>
      </c>
      <c r="B341">
        <v>21188</v>
      </c>
      <c r="C341" t="s">
        <v>1123</v>
      </c>
      <c r="D341" t="s">
        <v>146</v>
      </c>
      <c r="E341" t="s">
        <v>1124</v>
      </c>
      <c r="F341" t="s">
        <v>148</v>
      </c>
      <c r="G341" t="s">
        <v>18</v>
      </c>
      <c r="H341" t="s">
        <v>1093</v>
      </c>
      <c r="I341" t="s">
        <v>1094</v>
      </c>
      <c r="J341" t="s">
        <v>86</v>
      </c>
      <c r="K341" s="2">
        <v>33</v>
      </c>
      <c r="L341" s="2" t="str">
        <f>"03.09.04"</f>
        <v>03.09.04</v>
      </c>
    </row>
    <row r="342" spans="1:12" x14ac:dyDescent="0.25">
      <c r="A342">
        <v>339</v>
      </c>
      <c r="B342">
        <v>21189</v>
      </c>
      <c r="C342" t="s">
        <v>1125</v>
      </c>
      <c r="D342" t="s">
        <v>199</v>
      </c>
      <c r="E342" t="s">
        <v>1126</v>
      </c>
      <c r="F342" t="s">
        <v>201</v>
      </c>
      <c r="G342" t="s">
        <v>18</v>
      </c>
      <c r="H342" t="s">
        <v>1127</v>
      </c>
      <c r="I342" t="s">
        <v>1128</v>
      </c>
      <c r="J342" t="s">
        <v>86</v>
      </c>
      <c r="K342" s="2">
        <v>31</v>
      </c>
      <c r="L342" s="2" t="str">
        <f>"03.09.04"</f>
        <v>03.09.04</v>
      </c>
    </row>
    <row r="343" spans="1:12" x14ac:dyDescent="0.25">
      <c r="A343">
        <v>340</v>
      </c>
      <c r="B343">
        <v>21190</v>
      </c>
      <c r="C343" t="s">
        <v>465</v>
      </c>
      <c r="D343" t="s">
        <v>533</v>
      </c>
      <c r="E343" t="s">
        <v>466</v>
      </c>
      <c r="F343" t="s">
        <v>534</v>
      </c>
      <c r="G343" t="s">
        <v>18</v>
      </c>
      <c r="H343" t="s">
        <v>226</v>
      </c>
      <c r="I343" t="s">
        <v>227</v>
      </c>
      <c r="J343" t="s">
        <v>86</v>
      </c>
      <c r="K343" s="2">
        <v>29</v>
      </c>
      <c r="L343" s="2" t="str">
        <f>"03.08.21"</f>
        <v>03.08.21</v>
      </c>
    </row>
    <row r="344" spans="1:12" x14ac:dyDescent="0.25">
      <c r="A344">
        <v>341</v>
      </c>
      <c r="B344">
        <v>21191</v>
      </c>
      <c r="C344" t="s">
        <v>139</v>
      </c>
      <c r="D344" t="s">
        <v>154</v>
      </c>
      <c r="E344" t="s">
        <v>141</v>
      </c>
      <c r="F344" t="s">
        <v>156</v>
      </c>
      <c r="G344" t="s">
        <v>18</v>
      </c>
      <c r="H344" t="s">
        <v>1129</v>
      </c>
      <c r="I344" t="s">
        <v>1130</v>
      </c>
      <c r="J344" t="s">
        <v>86</v>
      </c>
      <c r="K344" s="2">
        <v>44</v>
      </c>
      <c r="L344" s="2" t="str">
        <f>"03.07.12"</f>
        <v>03.07.12</v>
      </c>
    </row>
    <row r="345" spans="1:12" x14ac:dyDescent="0.25">
      <c r="A345">
        <v>342</v>
      </c>
      <c r="B345">
        <v>21193</v>
      </c>
      <c r="C345" t="s">
        <v>1131</v>
      </c>
      <c r="D345" t="s">
        <v>1132</v>
      </c>
      <c r="E345" t="s">
        <v>1133</v>
      </c>
      <c r="F345" t="s">
        <v>1134</v>
      </c>
      <c r="G345" t="s">
        <v>18</v>
      </c>
      <c r="H345" t="s">
        <v>106</v>
      </c>
      <c r="I345" t="s">
        <v>107</v>
      </c>
      <c r="J345" t="s">
        <v>21</v>
      </c>
      <c r="K345" s="2">
        <v>38</v>
      </c>
      <c r="L345" s="2" t="str">
        <f>"03.07.10"</f>
        <v>03.07.10</v>
      </c>
    </row>
    <row r="346" spans="1:12" x14ac:dyDescent="0.25">
      <c r="A346">
        <v>343</v>
      </c>
      <c r="B346">
        <v>21194</v>
      </c>
      <c r="C346" t="s">
        <v>1135</v>
      </c>
      <c r="D346" t="s">
        <v>933</v>
      </c>
      <c r="E346" t="s">
        <v>1136</v>
      </c>
      <c r="F346" t="s">
        <v>172</v>
      </c>
      <c r="G346" t="s">
        <v>56</v>
      </c>
      <c r="H346" t="s">
        <v>173</v>
      </c>
      <c r="I346" t="s">
        <v>174</v>
      </c>
      <c r="J346" t="s">
        <v>21</v>
      </c>
      <c r="K346" s="2">
        <v>46</v>
      </c>
      <c r="L346" s="2" t="str">
        <f>"05.00.08"</f>
        <v>05.00.08</v>
      </c>
    </row>
    <row r="347" spans="1:12" x14ac:dyDescent="0.25">
      <c r="A347">
        <v>344</v>
      </c>
      <c r="B347">
        <v>21196</v>
      </c>
      <c r="C347" t="s">
        <v>1137</v>
      </c>
      <c r="D347" t="s">
        <v>1110</v>
      </c>
      <c r="E347" t="s">
        <v>1138</v>
      </c>
      <c r="F347" t="s">
        <v>1112</v>
      </c>
      <c r="G347" t="s">
        <v>18</v>
      </c>
      <c r="H347" t="s">
        <v>1139</v>
      </c>
      <c r="I347" t="s">
        <v>1140</v>
      </c>
      <c r="J347" t="s">
        <v>21</v>
      </c>
      <c r="K347" s="2">
        <v>36</v>
      </c>
      <c r="L347" s="2" t="str">
        <f>"03.07.06"</f>
        <v>03.07.06</v>
      </c>
    </row>
    <row r="348" spans="1:12" x14ac:dyDescent="0.25">
      <c r="A348">
        <v>345</v>
      </c>
      <c r="B348">
        <v>21197</v>
      </c>
      <c r="C348" t="s">
        <v>1141</v>
      </c>
      <c r="D348" t="s">
        <v>992</v>
      </c>
      <c r="E348" t="s">
        <v>1142</v>
      </c>
      <c r="F348" t="s">
        <v>994</v>
      </c>
      <c r="G348" t="s">
        <v>56</v>
      </c>
      <c r="H348" t="s">
        <v>1143</v>
      </c>
      <c r="I348" t="s">
        <v>1144</v>
      </c>
      <c r="J348" t="s">
        <v>86</v>
      </c>
      <c r="K348" s="2">
        <v>39</v>
      </c>
      <c r="L348" s="2" t="str">
        <f>"03.06.10"</f>
        <v>03.06.10</v>
      </c>
    </row>
    <row r="349" spans="1:12" x14ac:dyDescent="0.25">
      <c r="A349">
        <v>346</v>
      </c>
      <c r="B349">
        <v>21198</v>
      </c>
      <c r="C349" t="s">
        <v>1145</v>
      </c>
      <c r="D349" t="s">
        <v>1036</v>
      </c>
      <c r="E349" t="s">
        <v>1146</v>
      </c>
      <c r="F349" t="s">
        <v>1038</v>
      </c>
      <c r="G349" t="s">
        <v>56</v>
      </c>
      <c r="H349" t="s">
        <v>1147</v>
      </c>
      <c r="I349" t="s">
        <v>1148</v>
      </c>
      <c r="J349" t="s">
        <v>86</v>
      </c>
      <c r="K349" s="2">
        <v>36</v>
      </c>
      <c r="L349" s="2" t="str">
        <f>"03.05.10"</f>
        <v>03.05.10</v>
      </c>
    </row>
    <row r="350" spans="1:12" x14ac:dyDescent="0.25">
      <c r="A350">
        <v>347</v>
      </c>
      <c r="B350">
        <v>21200</v>
      </c>
      <c r="C350" t="s">
        <v>1149</v>
      </c>
      <c r="D350" t="s">
        <v>1150</v>
      </c>
      <c r="E350" t="s">
        <v>1151</v>
      </c>
      <c r="F350" t="s">
        <v>1152</v>
      </c>
      <c r="G350" t="s">
        <v>18</v>
      </c>
      <c r="H350" t="s">
        <v>346</v>
      </c>
      <c r="I350" t="s">
        <v>347</v>
      </c>
      <c r="J350" t="s">
        <v>21</v>
      </c>
      <c r="K350" s="2">
        <v>23</v>
      </c>
      <c r="L350" s="2" t="str">
        <f>"03.05.01"</f>
        <v>03.05.01</v>
      </c>
    </row>
    <row r="351" spans="1:12" x14ac:dyDescent="0.25">
      <c r="A351">
        <v>348</v>
      </c>
      <c r="B351">
        <v>21201</v>
      </c>
      <c r="C351" t="s">
        <v>844</v>
      </c>
      <c r="D351" t="s">
        <v>1153</v>
      </c>
      <c r="E351" t="s">
        <v>846</v>
      </c>
      <c r="F351" t="s">
        <v>1154</v>
      </c>
      <c r="G351" t="s">
        <v>18</v>
      </c>
      <c r="H351" t="s">
        <v>495</v>
      </c>
      <c r="I351" t="s">
        <v>496</v>
      </c>
      <c r="J351" t="s">
        <v>21</v>
      </c>
      <c r="K351" s="2">
        <v>35</v>
      </c>
      <c r="L351" s="2" t="str">
        <f>"03.05.03"</f>
        <v>03.05.03</v>
      </c>
    </row>
    <row r="352" spans="1:12" x14ac:dyDescent="0.25">
      <c r="A352">
        <v>349</v>
      </c>
      <c r="B352">
        <v>21204</v>
      </c>
      <c r="C352" t="s">
        <v>187</v>
      </c>
      <c r="D352" t="s">
        <v>445</v>
      </c>
      <c r="E352" t="s">
        <v>189</v>
      </c>
      <c r="F352" t="s">
        <v>447</v>
      </c>
      <c r="G352" t="s">
        <v>18</v>
      </c>
      <c r="H352" t="s">
        <v>264</v>
      </c>
      <c r="I352" t="s">
        <v>265</v>
      </c>
      <c r="J352" t="s">
        <v>21</v>
      </c>
      <c r="K352" s="2">
        <v>46</v>
      </c>
      <c r="L352" s="2" t="str">
        <f>"03.04.05"</f>
        <v>03.04.05</v>
      </c>
    </row>
    <row r="353" spans="1:12" x14ac:dyDescent="0.25">
      <c r="A353">
        <v>350</v>
      </c>
      <c r="B353">
        <v>21206</v>
      </c>
      <c r="C353" t="s">
        <v>1119</v>
      </c>
      <c r="D353" t="s">
        <v>969</v>
      </c>
      <c r="E353" t="s">
        <v>1121</v>
      </c>
      <c r="F353" t="s">
        <v>970</v>
      </c>
      <c r="G353" t="s">
        <v>18</v>
      </c>
      <c r="H353" t="s">
        <v>426</v>
      </c>
      <c r="I353" t="s">
        <v>427</v>
      </c>
      <c r="J353" t="s">
        <v>21</v>
      </c>
      <c r="K353" s="2">
        <v>52</v>
      </c>
      <c r="L353" s="2" t="str">
        <f>"03.03.08"</f>
        <v>03.03.08</v>
      </c>
    </row>
    <row r="354" spans="1:12" x14ac:dyDescent="0.25">
      <c r="A354">
        <v>351</v>
      </c>
      <c r="B354">
        <v>21209</v>
      </c>
      <c r="C354" t="s">
        <v>555</v>
      </c>
      <c r="D354" t="s">
        <v>1155</v>
      </c>
      <c r="E354" t="s">
        <v>557</v>
      </c>
      <c r="F354" t="s">
        <v>1156</v>
      </c>
      <c r="G354" t="s">
        <v>18</v>
      </c>
      <c r="H354" t="s">
        <v>1157</v>
      </c>
      <c r="I354" t="s">
        <v>1158</v>
      </c>
      <c r="J354" t="s">
        <v>86</v>
      </c>
      <c r="K354" s="2">
        <v>62</v>
      </c>
      <c r="L354" s="2" t="str">
        <f>"03.02.11"</f>
        <v>03.02.11</v>
      </c>
    </row>
    <row r="355" spans="1:12" x14ac:dyDescent="0.25">
      <c r="A355">
        <v>352</v>
      </c>
      <c r="B355">
        <v>21212</v>
      </c>
      <c r="C355" t="s">
        <v>348</v>
      </c>
      <c r="D355" t="s">
        <v>533</v>
      </c>
      <c r="E355" t="s">
        <v>349</v>
      </c>
      <c r="F355" t="s">
        <v>534</v>
      </c>
      <c r="G355" t="s">
        <v>18</v>
      </c>
      <c r="H355" t="s">
        <v>863</v>
      </c>
      <c r="I355" t="s">
        <v>864</v>
      </c>
      <c r="J355" t="s">
        <v>21</v>
      </c>
      <c r="K355" s="2">
        <v>22</v>
      </c>
      <c r="L355" s="2" t="str">
        <f>"03.02.05"</f>
        <v>03.02.05</v>
      </c>
    </row>
    <row r="356" spans="1:12" x14ac:dyDescent="0.25">
      <c r="A356">
        <v>353</v>
      </c>
      <c r="B356">
        <v>21218</v>
      </c>
      <c r="C356" t="s">
        <v>459</v>
      </c>
      <c r="D356" t="s">
        <v>1159</v>
      </c>
      <c r="E356" t="s">
        <v>461</v>
      </c>
      <c r="F356" t="s">
        <v>1160</v>
      </c>
      <c r="G356" t="s">
        <v>18</v>
      </c>
      <c r="H356" t="s">
        <v>106</v>
      </c>
      <c r="I356" t="s">
        <v>107</v>
      </c>
      <c r="J356" t="s">
        <v>21</v>
      </c>
      <c r="K356" s="2">
        <v>21</v>
      </c>
      <c r="L356" s="2" t="str">
        <f>"03.00.11"</f>
        <v>03.00.11</v>
      </c>
    </row>
    <row r="357" spans="1:12" x14ac:dyDescent="0.25">
      <c r="A357">
        <v>354</v>
      </c>
      <c r="B357">
        <v>21219</v>
      </c>
      <c r="C357" t="s">
        <v>1161</v>
      </c>
      <c r="D357" t="s">
        <v>269</v>
      </c>
      <c r="E357" t="s">
        <v>1162</v>
      </c>
      <c r="F357" t="s">
        <v>271</v>
      </c>
      <c r="G357" t="s">
        <v>18</v>
      </c>
      <c r="H357" t="s">
        <v>68</v>
      </c>
      <c r="I357" t="s">
        <v>69</v>
      </c>
      <c r="J357" t="s">
        <v>21</v>
      </c>
      <c r="K357" s="2">
        <v>47</v>
      </c>
      <c r="L357" s="2" t="str">
        <f>"03.00.11"</f>
        <v>03.00.11</v>
      </c>
    </row>
    <row r="358" spans="1:12" x14ac:dyDescent="0.25">
      <c r="A358">
        <v>355</v>
      </c>
      <c r="B358">
        <v>21224</v>
      </c>
      <c r="C358" t="s">
        <v>1163</v>
      </c>
      <c r="D358" t="s">
        <v>1164</v>
      </c>
      <c r="E358" t="s">
        <v>1165</v>
      </c>
      <c r="F358" t="s">
        <v>1166</v>
      </c>
      <c r="G358" t="s">
        <v>56</v>
      </c>
      <c r="H358" t="s">
        <v>1167</v>
      </c>
      <c r="I358" t="s">
        <v>1168</v>
      </c>
      <c r="J358" t="s">
        <v>63</v>
      </c>
      <c r="K358" s="2">
        <v>51</v>
      </c>
      <c r="L358" s="2" t="str">
        <f>"02.10.23"</f>
        <v>02.10.23</v>
      </c>
    </row>
    <row r="359" spans="1:12" x14ac:dyDescent="0.25">
      <c r="A359">
        <v>356</v>
      </c>
      <c r="B359">
        <v>21225</v>
      </c>
      <c r="C359" t="s">
        <v>1169</v>
      </c>
      <c r="D359" t="s">
        <v>1170</v>
      </c>
      <c r="E359" t="s">
        <v>1171</v>
      </c>
      <c r="F359" t="s">
        <v>1172</v>
      </c>
      <c r="G359" t="s">
        <v>18</v>
      </c>
      <c r="H359" t="s">
        <v>106</v>
      </c>
      <c r="I359" t="s">
        <v>107</v>
      </c>
      <c r="J359" t="s">
        <v>21</v>
      </c>
      <c r="K359" s="2">
        <v>32</v>
      </c>
      <c r="L359" s="2" t="str">
        <f>"02.10.10"</f>
        <v>02.10.10</v>
      </c>
    </row>
    <row r="360" spans="1:12" x14ac:dyDescent="0.25">
      <c r="A360">
        <v>357</v>
      </c>
      <c r="B360">
        <v>21227</v>
      </c>
      <c r="C360" t="s">
        <v>1173</v>
      </c>
      <c r="D360" t="s">
        <v>1174</v>
      </c>
      <c r="E360" t="s">
        <v>1175</v>
      </c>
      <c r="F360" t="s">
        <v>1176</v>
      </c>
      <c r="G360" t="s">
        <v>56</v>
      </c>
      <c r="H360" t="s">
        <v>1177</v>
      </c>
      <c r="I360" t="s">
        <v>1178</v>
      </c>
      <c r="J360" t="s">
        <v>63</v>
      </c>
      <c r="K360" s="2">
        <v>28</v>
      </c>
      <c r="L360" s="2" t="str">
        <f>"02.10.08"</f>
        <v>02.10.08</v>
      </c>
    </row>
    <row r="361" spans="1:12" x14ac:dyDescent="0.25">
      <c r="A361">
        <v>358</v>
      </c>
      <c r="B361">
        <v>21229</v>
      </c>
      <c r="C361" t="s">
        <v>1179</v>
      </c>
      <c r="D361" t="s">
        <v>820</v>
      </c>
      <c r="E361" t="s">
        <v>1180</v>
      </c>
      <c r="F361" t="s">
        <v>822</v>
      </c>
      <c r="G361" t="s">
        <v>56</v>
      </c>
      <c r="H361" t="s">
        <v>298</v>
      </c>
      <c r="I361" t="s">
        <v>299</v>
      </c>
      <c r="J361" t="s">
        <v>63</v>
      </c>
      <c r="K361" s="2">
        <v>47</v>
      </c>
      <c r="L361" s="2" t="str">
        <f>"02.09.09"</f>
        <v>02.09.09</v>
      </c>
    </row>
    <row r="362" spans="1:12" x14ac:dyDescent="0.25">
      <c r="A362">
        <v>359</v>
      </c>
      <c r="B362">
        <v>21231</v>
      </c>
      <c r="C362" t="s">
        <v>133</v>
      </c>
      <c r="D362" t="s">
        <v>47</v>
      </c>
      <c r="E362" t="s">
        <v>135</v>
      </c>
      <c r="F362" t="s">
        <v>49</v>
      </c>
      <c r="G362" t="s">
        <v>18</v>
      </c>
      <c r="H362" t="s">
        <v>106</v>
      </c>
      <c r="I362" t="s">
        <v>107</v>
      </c>
      <c r="J362" t="s">
        <v>21</v>
      </c>
      <c r="K362" s="2">
        <v>48</v>
      </c>
      <c r="L362" s="2" t="str">
        <f>"02.09.16"</f>
        <v>02.09.16</v>
      </c>
    </row>
    <row r="363" spans="1:12" x14ac:dyDescent="0.25">
      <c r="A363">
        <v>360</v>
      </c>
      <c r="B363">
        <v>21233</v>
      </c>
      <c r="C363" t="s">
        <v>191</v>
      </c>
      <c r="D363" t="s">
        <v>1181</v>
      </c>
      <c r="E363" t="s">
        <v>192</v>
      </c>
      <c r="F363" t="s">
        <v>1182</v>
      </c>
      <c r="G363" t="s">
        <v>18</v>
      </c>
      <c r="H363" t="s">
        <v>1183</v>
      </c>
      <c r="I363" t="s">
        <v>1184</v>
      </c>
      <c r="J363" t="s">
        <v>21</v>
      </c>
      <c r="K363" s="2">
        <v>23</v>
      </c>
      <c r="L363" s="2" t="str">
        <f>"02.09.17"</f>
        <v>02.09.17</v>
      </c>
    </row>
    <row r="364" spans="1:12" x14ac:dyDescent="0.25">
      <c r="A364">
        <v>361</v>
      </c>
      <c r="B364">
        <v>21240</v>
      </c>
      <c r="C364" t="s">
        <v>1185</v>
      </c>
      <c r="D364" t="s">
        <v>207</v>
      </c>
      <c r="E364" t="s">
        <v>1186</v>
      </c>
      <c r="F364" t="s">
        <v>209</v>
      </c>
      <c r="G364" t="s">
        <v>18</v>
      </c>
      <c r="H364" t="s">
        <v>127</v>
      </c>
      <c r="I364" t="s">
        <v>128</v>
      </c>
      <c r="J364" t="s">
        <v>21</v>
      </c>
      <c r="K364" s="2">
        <v>35</v>
      </c>
      <c r="L364" s="2" t="str">
        <f>"02.08.27"</f>
        <v>02.08.27</v>
      </c>
    </row>
    <row r="365" spans="1:12" x14ac:dyDescent="0.25">
      <c r="A365">
        <v>362</v>
      </c>
      <c r="B365">
        <v>21241</v>
      </c>
      <c r="C365" t="s">
        <v>827</v>
      </c>
      <c r="D365" t="s">
        <v>1187</v>
      </c>
      <c r="E365" t="s">
        <v>828</v>
      </c>
      <c r="F365" t="s">
        <v>1188</v>
      </c>
      <c r="G365" t="s">
        <v>18</v>
      </c>
      <c r="H365" t="s">
        <v>610</v>
      </c>
      <c r="I365" t="s">
        <v>611</v>
      </c>
      <c r="J365" t="s">
        <v>21</v>
      </c>
      <c r="K365" s="2">
        <v>30</v>
      </c>
      <c r="L365" s="2" t="str">
        <f>"02.08.25"</f>
        <v>02.08.25</v>
      </c>
    </row>
    <row r="366" spans="1:12" x14ac:dyDescent="0.25">
      <c r="A366">
        <v>363</v>
      </c>
      <c r="B366">
        <v>21243</v>
      </c>
      <c r="C366" t="s">
        <v>1189</v>
      </c>
      <c r="D366" t="s">
        <v>253</v>
      </c>
      <c r="E366" t="s">
        <v>1190</v>
      </c>
      <c r="F366" t="s">
        <v>255</v>
      </c>
      <c r="G366" t="s">
        <v>18</v>
      </c>
      <c r="H366" t="s">
        <v>531</v>
      </c>
      <c r="I366" t="s">
        <v>532</v>
      </c>
      <c r="J366" t="s">
        <v>21</v>
      </c>
      <c r="K366" s="2">
        <v>42</v>
      </c>
      <c r="L366" s="2" t="str">
        <f>"02.08.00"</f>
        <v>02.08.00</v>
      </c>
    </row>
    <row r="367" spans="1:12" x14ac:dyDescent="0.25">
      <c r="A367">
        <v>364</v>
      </c>
      <c r="B367">
        <v>21247</v>
      </c>
      <c r="C367" t="s">
        <v>1191</v>
      </c>
      <c r="D367" t="s">
        <v>371</v>
      </c>
      <c r="E367" t="s">
        <v>1192</v>
      </c>
      <c r="F367" t="s">
        <v>373</v>
      </c>
      <c r="G367" t="s">
        <v>18</v>
      </c>
      <c r="H367" t="s">
        <v>979</v>
      </c>
      <c r="I367" t="s">
        <v>980</v>
      </c>
      <c r="J367" t="s">
        <v>63</v>
      </c>
      <c r="K367" s="2">
        <v>41</v>
      </c>
      <c r="L367" s="2" t="str">
        <f>"02.07.10"</f>
        <v>02.07.10</v>
      </c>
    </row>
    <row r="368" spans="1:12" x14ac:dyDescent="0.25">
      <c r="A368">
        <v>365</v>
      </c>
      <c r="B368">
        <v>21252</v>
      </c>
      <c r="C368" t="s">
        <v>1193</v>
      </c>
      <c r="D368" t="s">
        <v>71</v>
      </c>
      <c r="E368" t="s">
        <v>1194</v>
      </c>
      <c r="F368" t="s">
        <v>73</v>
      </c>
      <c r="G368" t="s">
        <v>18</v>
      </c>
      <c r="H368" t="s">
        <v>127</v>
      </c>
      <c r="I368" t="s">
        <v>128</v>
      </c>
      <c r="J368" t="s">
        <v>21</v>
      </c>
      <c r="K368" s="2">
        <v>40</v>
      </c>
      <c r="L368" s="2" t="str">
        <f>"02.04.10"</f>
        <v>02.04.10</v>
      </c>
    </row>
    <row r="369" spans="1:12" x14ac:dyDescent="0.25">
      <c r="A369">
        <v>366</v>
      </c>
      <c r="B369">
        <v>21254</v>
      </c>
      <c r="C369" t="s">
        <v>1195</v>
      </c>
      <c r="D369" t="s">
        <v>903</v>
      </c>
      <c r="E369" t="s">
        <v>1196</v>
      </c>
      <c r="F369" t="s">
        <v>905</v>
      </c>
      <c r="G369" t="s">
        <v>18</v>
      </c>
      <c r="H369" t="s">
        <v>1197</v>
      </c>
      <c r="I369" t="s">
        <v>1198</v>
      </c>
      <c r="J369" t="s">
        <v>86</v>
      </c>
      <c r="K369" s="2">
        <v>29</v>
      </c>
      <c r="L369" s="2" t="str">
        <f>"02.03.11"</f>
        <v>02.03.11</v>
      </c>
    </row>
    <row r="370" spans="1:12" x14ac:dyDescent="0.25">
      <c r="A370">
        <v>367</v>
      </c>
      <c r="B370">
        <v>21257</v>
      </c>
      <c r="C370" t="s">
        <v>1199</v>
      </c>
      <c r="D370" t="s">
        <v>1200</v>
      </c>
      <c r="E370" t="s">
        <v>1201</v>
      </c>
      <c r="F370" t="s">
        <v>1202</v>
      </c>
      <c r="G370" t="s">
        <v>18</v>
      </c>
      <c r="H370" t="s">
        <v>1157</v>
      </c>
      <c r="I370" t="s">
        <v>1158</v>
      </c>
      <c r="J370" t="s">
        <v>86</v>
      </c>
      <c r="K370" s="2">
        <v>28</v>
      </c>
      <c r="L370" s="2" t="str">
        <f>"02.02.06"</f>
        <v>02.02.06</v>
      </c>
    </row>
    <row r="371" spans="1:12" x14ac:dyDescent="0.25">
      <c r="A371">
        <v>368</v>
      </c>
      <c r="B371">
        <v>21259</v>
      </c>
      <c r="C371" t="s">
        <v>40</v>
      </c>
      <c r="D371" t="s">
        <v>1203</v>
      </c>
      <c r="E371" t="s">
        <v>42</v>
      </c>
      <c r="F371" t="s">
        <v>1204</v>
      </c>
      <c r="G371" t="s">
        <v>18</v>
      </c>
      <c r="H371" t="s">
        <v>1183</v>
      </c>
      <c r="I371" t="s">
        <v>1184</v>
      </c>
      <c r="J371" t="s">
        <v>21</v>
      </c>
      <c r="K371" s="2">
        <v>23</v>
      </c>
      <c r="L371" s="2" t="str">
        <f>"02.07.02"</f>
        <v>02.07.02</v>
      </c>
    </row>
    <row r="372" spans="1:12" x14ac:dyDescent="0.25">
      <c r="A372">
        <v>369</v>
      </c>
      <c r="B372">
        <v>21260</v>
      </c>
      <c r="C372" t="s">
        <v>1205</v>
      </c>
      <c r="D372" t="s">
        <v>1206</v>
      </c>
      <c r="E372" t="s">
        <v>1207</v>
      </c>
      <c r="F372" t="s">
        <v>1208</v>
      </c>
      <c r="G372" t="s">
        <v>56</v>
      </c>
      <c r="H372" t="s">
        <v>173</v>
      </c>
      <c r="I372" t="s">
        <v>174</v>
      </c>
      <c r="J372" t="s">
        <v>21</v>
      </c>
      <c r="K372" s="2">
        <v>47</v>
      </c>
      <c r="L372" s="2" t="str">
        <f>"01.09.17"</f>
        <v>01.09.17</v>
      </c>
    </row>
    <row r="373" spans="1:12" x14ac:dyDescent="0.25">
      <c r="A373">
        <v>370</v>
      </c>
      <c r="B373">
        <v>21261</v>
      </c>
      <c r="C373" t="s">
        <v>1209</v>
      </c>
      <c r="D373" t="s">
        <v>256</v>
      </c>
      <c r="E373" t="s">
        <v>1210</v>
      </c>
      <c r="F373" t="s">
        <v>257</v>
      </c>
      <c r="G373" t="s">
        <v>18</v>
      </c>
      <c r="H373" t="s">
        <v>1127</v>
      </c>
      <c r="I373" t="s">
        <v>1128</v>
      </c>
      <c r="J373" t="s">
        <v>86</v>
      </c>
      <c r="K373" s="2">
        <v>50</v>
      </c>
      <c r="L373" s="2" t="str">
        <f>"01.09.10"</f>
        <v>01.09.10</v>
      </c>
    </row>
    <row r="374" spans="1:12" x14ac:dyDescent="0.25">
      <c r="A374">
        <v>371</v>
      </c>
      <c r="B374">
        <v>21262</v>
      </c>
      <c r="C374" t="s">
        <v>1211</v>
      </c>
      <c r="D374" t="s">
        <v>1212</v>
      </c>
      <c r="E374" t="s">
        <v>1213</v>
      </c>
      <c r="F374" t="s">
        <v>1214</v>
      </c>
      <c r="G374" t="s">
        <v>56</v>
      </c>
      <c r="H374" t="s">
        <v>258</v>
      </c>
      <c r="I374" t="s">
        <v>259</v>
      </c>
      <c r="J374" t="s">
        <v>21</v>
      </c>
      <c r="K374" s="2">
        <v>52</v>
      </c>
      <c r="L374" s="2" t="str">
        <f>"01.09.10"</f>
        <v>01.09.10</v>
      </c>
    </row>
    <row r="375" spans="1:12" x14ac:dyDescent="0.25">
      <c r="A375">
        <v>372</v>
      </c>
      <c r="B375">
        <v>21263</v>
      </c>
      <c r="C375" t="s">
        <v>1215</v>
      </c>
      <c r="D375" t="s">
        <v>674</v>
      </c>
      <c r="E375" t="s">
        <v>1216</v>
      </c>
      <c r="F375" t="s">
        <v>676</v>
      </c>
      <c r="G375" t="s">
        <v>56</v>
      </c>
      <c r="H375" t="s">
        <v>1217</v>
      </c>
      <c r="I375" t="s">
        <v>1218</v>
      </c>
      <c r="J375" t="s">
        <v>86</v>
      </c>
      <c r="K375" s="2">
        <v>44</v>
      </c>
      <c r="L375" s="2" t="str">
        <f>"01.09.05"</f>
        <v>01.09.05</v>
      </c>
    </row>
    <row r="376" spans="1:12" x14ac:dyDescent="0.25">
      <c r="A376">
        <v>373</v>
      </c>
      <c r="B376">
        <v>21268</v>
      </c>
      <c r="C376" t="s">
        <v>400</v>
      </c>
      <c r="D376" t="s">
        <v>154</v>
      </c>
      <c r="E376" t="s">
        <v>401</v>
      </c>
      <c r="F376" t="s">
        <v>156</v>
      </c>
      <c r="G376" t="s">
        <v>18</v>
      </c>
      <c r="H376" t="s">
        <v>127</v>
      </c>
      <c r="I376" t="s">
        <v>128</v>
      </c>
      <c r="J376" t="s">
        <v>21</v>
      </c>
      <c r="K376" s="2">
        <v>21</v>
      </c>
      <c r="L376" s="2" t="str">
        <f>"01.08.20"</f>
        <v>01.08.20</v>
      </c>
    </row>
    <row r="377" spans="1:12" x14ac:dyDescent="0.25">
      <c r="A377">
        <v>374</v>
      </c>
      <c r="B377">
        <v>21269</v>
      </c>
      <c r="C377" t="s">
        <v>1219</v>
      </c>
      <c r="D377" t="s">
        <v>1220</v>
      </c>
      <c r="E377" t="s">
        <v>1221</v>
      </c>
      <c r="F377" t="s">
        <v>1222</v>
      </c>
      <c r="G377" t="s">
        <v>18</v>
      </c>
      <c r="H377" t="s">
        <v>1053</v>
      </c>
      <c r="I377" t="s">
        <v>265</v>
      </c>
      <c r="J377" t="s">
        <v>21</v>
      </c>
      <c r="K377" s="2">
        <v>23</v>
      </c>
      <c r="L377" s="2" t="str">
        <f>"01.08.20"</f>
        <v>01.08.20</v>
      </c>
    </row>
    <row r="378" spans="1:12" x14ac:dyDescent="0.25">
      <c r="A378">
        <v>375</v>
      </c>
      <c r="B378">
        <v>21270</v>
      </c>
      <c r="C378" t="s">
        <v>1223</v>
      </c>
      <c r="D378" t="s">
        <v>1224</v>
      </c>
      <c r="E378" t="s">
        <v>1225</v>
      </c>
      <c r="F378" t="s">
        <v>1226</v>
      </c>
      <c r="G378" t="s">
        <v>18</v>
      </c>
      <c r="H378" t="s">
        <v>436</v>
      </c>
      <c r="I378" t="s">
        <v>437</v>
      </c>
      <c r="J378" t="s">
        <v>21</v>
      </c>
      <c r="K378" s="2">
        <v>39</v>
      </c>
      <c r="L378" s="2" t="str">
        <f>"02.06.25"</f>
        <v>02.06.25</v>
      </c>
    </row>
    <row r="379" spans="1:12" x14ac:dyDescent="0.25">
      <c r="A379">
        <v>376</v>
      </c>
      <c r="B379">
        <v>21271</v>
      </c>
      <c r="C379" t="s">
        <v>1227</v>
      </c>
      <c r="D379" t="s">
        <v>1228</v>
      </c>
      <c r="E379" t="s">
        <v>1229</v>
      </c>
      <c r="F379" t="s">
        <v>1230</v>
      </c>
      <c r="G379" t="s">
        <v>18</v>
      </c>
      <c r="H379" t="s">
        <v>1088</v>
      </c>
      <c r="I379" t="s">
        <v>437</v>
      </c>
      <c r="J379" t="s">
        <v>21</v>
      </c>
      <c r="K379" s="2">
        <v>27</v>
      </c>
      <c r="L379" s="2" t="str">
        <f>"01.08.05"</f>
        <v>01.08.05</v>
      </c>
    </row>
    <row r="380" spans="1:12" x14ac:dyDescent="0.25">
      <c r="A380">
        <v>377</v>
      </c>
      <c r="B380">
        <v>21274</v>
      </c>
      <c r="C380" t="s">
        <v>1231</v>
      </c>
      <c r="D380" t="s">
        <v>1232</v>
      </c>
      <c r="E380" t="s">
        <v>1233</v>
      </c>
      <c r="F380" t="s">
        <v>1234</v>
      </c>
      <c r="G380" t="s">
        <v>18</v>
      </c>
      <c r="H380" t="s">
        <v>127</v>
      </c>
      <c r="I380" t="s">
        <v>128</v>
      </c>
      <c r="J380" t="s">
        <v>21</v>
      </c>
      <c r="K380" s="2">
        <v>26</v>
      </c>
      <c r="L380" s="2" t="str">
        <f>"01.05.09"</f>
        <v>01.05.09</v>
      </c>
    </row>
    <row r="381" spans="1:12" x14ac:dyDescent="0.25">
      <c r="A381">
        <v>378</v>
      </c>
      <c r="B381">
        <v>21275</v>
      </c>
      <c r="C381" t="s">
        <v>1235</v>
      </c>
      <c r="D381" t="s">
        <v>301</v>
      </c>
      <c r="E381" t="s">
        <v>1236</v>
      </c>
      <c r="F381" t="s">
        <v>303</v>
      </c>
      <c r="G381" t="s">
        <v>56</v>
      </c>
      <c r="H381" t="s">
        <v>1167</v>
      </c>
      <c r="I381" t="s">
        <v>1168</v>
      </c>
      <c r="J381" t="s">
        <v>63</v>
      </c>
      <c r="K381" s="2">
        <v>49</v>
      </c>
      <c r="L381" s="2" t="str">
        <f>"01.05.01"</f>
        <v>01.05.01</v>
      </c>
    </row>
    <row r="382" spans="1:12" x14ac:dyDescent="0.25">
      <c r="A382">
        <v>379</v>
      </c>
      <c r="B382">
        <v>21277</v>
      </c>
      <c r="C382" t="s">
        <v>1237</v>
      </c>
      <c r="D382" t="s">
        <v>1238</v>
      </c>
      <c r="E382" t="s">
        <v>1239</v>
      </c>
      <c r="F382" t="s">
        <v>1240</v>
      </c>
      <c r="G382" t="s">
        <v>18</v>
      </c>
      <c r="H382" t="s">
        <v>388</v>
      </c>
      <c r="I382" t="s">
        <v>389</v>
      </c>
      <c r="J382" t="s">
        <v>21</v>
      </c>
      <c r="K382" s="2">
        <v>51</v>
      </c>
      <c r="L382" s="2" t="str">
        <f>"01.04.08"</f>
        <v>01.04.08</v>
      </c>
    </row>
    <row r="383" spans="1:12" x14ac:dyDescent="0.25">
      <c r="A383">
        <v>380</v>
      </c>
      <c r="B383">
        <v>21280</v>
      </c>
      <c r="C383" t="s">
        <v>119</v>
      </c>
      <c r="D383" t="s">
        <v>1181</v>
      </c>
      <c r="E383" t="s">
        <v>121</v>
      </c>
      <c r="F383" t="s">
        <v>1182</v>
      </c>
      <c r="G383" t="s">
        <v>18</v>
      </c>
      <c r="H383" t="s">
        <v>883</v>
      </c>
      <c r="I383" t="s">
        <v>884</v>
      </c>
      <c r="J383" t="s">
        <v>21</v>
      </c>
      <c r="K383" s="2">
        <v>22</v>
      </c>
      <c r="L383" s="2" t="str">
        <f>"01.02.10"</f>
        <v>01.02.10</v>
      </c>
    </row>
    <row r="384" spans="1:12" x14ac:dyDescent="0.25">
      <c r="A384">
        <v>381</v>
      </c>
      <c r="B384">
        <v>21281</v>
      </c>
      <c r="C384" t="s">
        <v>811</v>
      </c>
      <c r="D384" t="s">
        <v>1241</v>
      </c>
      <c r="E384" t="s">
        <v>812</v>
      </c>
      <c r="F384" t="s">
        <v>1242</v>
      </c>
      <c r="G384" t="s">
        <v>18</v>
      </c>
      <c r="H384" t="s">
        <v>264</v>
      </c>
      <c r="I384" t="s">
        <v>265</v>
      </c>
      <c r="J384" t="s">
        <v>21</v>
      </c>
      <c r="K384" s="2">
        <v>22</v>
      </c>
      <c r="L384" s="2" t="str">
        <f>"01.02.06"</f>
        <v>01.02.06</v>
      </c>
    </row>
    <row r="385" spans="1:12" x14ac:dyDescent="0.25">
      <c r="A385">
        <v>382</v>
      </c>
      <c r="B385">
        <v>21282</v>
      </c>
      <c r="C385" t="s">
        <v>1243</v>
      </c>
      <c r="D385" t="s">
        <v>903</v>
      </c>
      <c r="E385" t="s">
        <v>1244</v>
      </c>
      <c r="F385" t="s">
        <v>905</v>
      </c>
      <c r="G385" t="s">
        <v>18</v>
      </c>
      <c r="H385" t="s">
        <v>258</v>
      </c>
      <c r="I385" t="s">
        <v>259</v>
      </c>
      <c r="J385" t="s">
        <v>21</v>
      </c>
      <c r="K385" s="2">
        <v>24</v>
      </c>
      <c r="L385" s="2" t="str">
        <f>"01.02.06"</f>
        <v>01.02.06</v>
      </c>
    </row>
    <row r="386" spans="1:12" x14ac:dyDescent="0.25">
      <c r="A386">
        <v>383</v>
      </c>
      <c r="B386">
        <v>21283</v>
      </c>
      <c r="C386" t="s">
        <v>1245</v>
      </c>
      <c r="D386" t="s">
        <v>1246</v>
      </c>
      <c r="E386" t="s">
        <v>1247</v>
      </c>
      <c r="F386" t="s">
        <v>1248</v>
      </c>
      <c r="G386" t="s">
        <v>18</v>
      </c>
      <c r="H386" t="s">
        <v>388</v>
      </c>
      <c r="I386" t="s">
        <v>389</v>
      </c>
      <c r="J386" t="s">
        <v>21</v>
      </c>
      <c r="K386" s="2">
        <v>44</v>
      </c>
      <c r="L386" s="2" t="str">
        <f>"01.02.06"</f>
        <v>01.02.06</v>
      </c>
    </row>
    <row r="387" spans="1:12" x14ac:dyDescent="0.25">
      <c r="A387">
        <v>384</v>
      </c>
      <c r="B387">
        <v>21284</v>
      </c>
      <c r="C387" t="s">
        <v>1249</v>
      </c>
      <c r="D387" t="s">
        <v>397</v>
      </c>
      <c r="E387" t="s">
        <v>1250</v>
      </c>
      <c r="F387" t="s">
        <v>399</v>
      </c>
      <c r="G387" t="s">
        <v>18</v>
      </c>
      <c r="H387" t="s">
        <v>214</v>
      </c>
      <c r="I387" t="s">
        <v>215</v>
      </c>
      <c r="J387" t="s">
        <v>21</v>
      </c>
      <c r="K387" s="2">
        <v>51</v>
      </c>
      <c r="L387" s="2" t="str">
        <f>"01.02.00"</f>
        <v>01.02.00</v>
      </c>
    </row>
    <row r="388" spans="1:12" x14ac:dyDescent="0.25">
      <c r="A388">
        <v>385</v>
      </c>
      <c r="B388">
        <v>21285</v>
      </c>
      <c r="C388" t="s">
        <v>928</v>
      </c>
      <c r="D388" t="s">
        <v>1251</v>
      </c>
      <c r="E388" t="s">
        <v>929</v>
      </c>
      <c r="F388" t="s">
        <v>1252</v>
      </c>
      <c r="G388" t="s">
        <v>18</v>
      </c>
      <c r="H388" t="s">
        <v>487</v>
      </c>
      <c r="I388" t="s">
        <v>488</v>
      </c>
      <c r="J388" t="s">
        <v>21</v>
      </c>
      <c r="K388" s="2">
        <v>26</v>
      </c>
      <c r="L388" s="2" t="str">
        <f>"01.01.29"</f>
        <v>01.01.29</v>
      </c>
    </row>
    <row r="389" spans="1:12" x14ac:dyDescent="0.25">
      <c r="A389">
        <v>386</v>
      </c>
      <c r="B389">
        <v>21286</v>
      </c>
      <c r="C389" t="s">
        <v>1253</v>
      </c>
      <c r="D389" t="s">
        <v>199</v>
      </c>
      <c r="E389" t="s">
        <v>1254</v>
      </c>
      <c r="F389" t="s">
        <v>201</v>
      </c>
      <c r="G389" t="s">
        <v>18</v>
      </c>
      <c r="H389" t="s">
        <v>426</v>
      </c>
      <c r="I389" t="s">
        <v>1002</v>
      </c>
      <c r="J389" t="s">
        <v>21</v>
      </c>
      <c r="K389" s="2">
        <v>47</v>
      </c>
      <c r="L389" s="2" t="str">
        <f>"01.01.08"</f>
        <v>01.01.08</v>
      </c>
    </row>
    <row r="390" spans="1:12" x14ac:dyDescent="0.25">
      <c r="A390">
        <v>387</v>
      </c>
      <c r="B390">
        <v>21288</v>
      </c>
      <c r="C390" t="s">
        <v>191</v>
      </c>
      <c r="D390" t="s">
        <v>439</v>
      </c>
      <c r="E390" t="s">
        <v>192</v>
      </c>
      <c r="F390" t="s">
        <v>441</v>
      </c>
      <c r="G390" t="s">
        <v>18</v>
      </c>
      <c r="H390" t="s">
        <v>436</v>
      </c>
      <c r="I390" t="s">
        <v>437</v>
      </c>
      <c r="J390" t="s">
        <v>21</v>
      </c>
      <c r="K390" s="2">
        <v>60</v>
      </c>
      <c r="L390" s="2" t="str">
        <f>"01.00.10"</f>
        <v>01.00.10</v>
      </c>
    </row>
    <row r="391" spans="1:12" x14ac:dyDescent="0.25">
      <c r="A391">
        <v>388</v>
      </c>
      <c r="B391">
        <v>21290</v>
      </c>
      <c r="C391" t="s">
        <v>438</v>
      </c>
      <c r="D391" t="s">
        <v>256</v>
      </c>
      <c r="E391" t="s">
        <v>440</v>
      </c>
      <c r="F391" t="s">
        <v>257</v>
      </c>
      <c r="G391" t="s">
        <v>18</v>
      </c>
      <c r="H391" t="s">
        <v>883</v>
      </c>
      <c r="I391" t="s">
        <v>884</v>
      </c>
      <c r="J391" t="s">
        <v>21</v>
      </c>
      <c r="K391" s="2">
        <v>36</v>
      </c>
      <c r="L391" s="2" t="str">
        <f>"01.01.28"</f>
        <v>01.01.28</v>
      </c>
    </row>
    <row r="392" spans="1:12" x14ac:dyDescent="0.25">
      <c r="A392">
        <v>389</v>
      </c>
      <c r="B392">
        <v>21292</v>
      </c>
      <c r="C392" t="s">
        <v>1255</v>
      </c>
      <c r="D392" t="s">
        <v>886</v>
      </c>
      <c r="E392" t="s">
        <v>1256</v>
      </c>
      <c r="F392" t="s">
        <v>888</v>
      </c>
      <c r="G392" t="s">
        <v>18</v>
      </c>
      <c r="H392" t="s">
        <v>137</v>
      </c>
      <c r="I392" t="s">
        <v>138</v>
      </c>
      <c r="J392" t="s">
        <v>21</v>
      </c>
      <c r="K392" s="2">
        <v>57</v>
      </c>
      <c r="L392" s="2" t="str">
        <f>"00.10.10"</f>
        <v>00.10.10</v>
      </c>
    </row>
    <row r="393" spans="1:12" x14ac:dyDescent="0.25">
      <c r="A393">
        <v>390</v>
      </c>
      <c r="B393">
        <v>21293</v>
      </c>
      <c r="C393" t="s">
        <v>1257</v>
      </c>
      <c r="D393" t="s">
        <v>35</v>
      </c>
      <c r="E393" t="s">
        <v>1258</v>
      </c>
      <c r="F393" t="s">
        <v>37</v>
      </c>
      <c r="G393" t="s">
        <v>18</v>
      </c>
      <c r="H393" t="s">
        <v>127</v>
      </c>
      <c r="I393" t="s">
        <v>128</v>
      </c>
      <c r="J393" t="s">
        <v>21</v>
      </c>
      <c r="K393" s="2">
        <v>40</v>
      </c>
      <c r="L393" s="2" t="str">
        <f>"00.09.27"</f>
        <v>00.09.27</v>
      </c>
    </row>
    <row r="394" spans="1:12" x14ac:dyDescent="0.25">
      <c r="A394">
        <v>391</v>
      </c>
      <c r="B394">
        <v>21294</v>
      </c>
      <c r="C394" t="s">
        <v>997</v>
      </c>
      <c r="D394" t="s">
        <v>1259</v>
      </c>
      <c r="E394" t="s">
        <v>998</v>
      </c>
      <c r="F394" t="s">
        <v>1260</v>
      </c>
      <c r="G394" t="s">
        <v>18</v>
      </c>
      <c r="H394" t="s">
        <v>264</v>
      </c>
      <c r="I394" t="s">
        <v>265</v>
      </c>
      <c r="J394" t="s">
        <v>21</v>
      </c>
      <c r="K394" s="2">
        <v>20</v>
      </c>
      <c r="L394" s="2" t="str">
        <f>"00.08.07"</f>
        <v>00.08.07</v>
      </c>
    </row>
    <row r="395" spans="1:12" x14ac:dyDescent="0.25">
      <c r="A395">
        <v>392</v>
      </c>
      <c r="B395">
        <v>21295</v>
      </c>
      <c r="C395" t="s">
        <v>999</v>
      </c>
      <c r="D395" t="s">
        <v>992</v>
      </c>
      <c r="E395" t="s">
        <v>1000</v>
      </c>
      <c r="F395" t="s">
        <v>994</v>
      </c>
      <c r="G395" t="s">
        <v>56</v>
      </c>
      <c r="H395" t="s">
        <v>627</v>
      </c>
      <c r="I395" t="s">
        <v>628</v>
      </c>
      <c r="J395" t="s">
        <v>21</v>
      </c>
      <c r="K395" s="2">
        <v>44</v>
      </c>
      <c r="L395" s="2" t="str">
        <f>"00.06.26"</f>
        <v>00.06.26</v>
      </c>
    </row>
    <row r="396" spans="1:12" x14ac:dyDescent="0.25">
      <c r="A396">
        <v>393</v>
      </c>
      <c r="B396">
        <v>21297</v>
      </c>
      <c r="C396" t="s">
        <v>1141</v>
      </c>
      <c r="D396" t="s">
        <v>1261</v>
      </c>
      <c r="E396" t="s">
        <v>1142</v>
      </c>
      <c r="F396" t="s">
        <v>1262</v>
      </c>
      <c r="G396" t="s">
        <v>56</v>
      </c>
      <c r="H396" t="s">
        <v>1263</v>
      </c>
      <c r="I396" t="s">
        <v>1264</v>
      </c>
      <c r="J396" t="s">
        <v>63</v>
      </c>
      <c r="K396" s="2">
        <v>36</v>
      </c>
      <c r="L396" s="2" t="str">
        <f>"00.07.03"</f>
        <v>00.07.03</v>
      </c>
    </row>
    <row r="397" spans="1:12" x14ac:dyDescent="0.25">
      <c r="A397">
        <v>394</v>
      </c>
      <c r="B397">
        <v>21298</v>
      </c>
      <c r="C397" t="s">
        <v>1265</v>
      </c>
      <c r="D397" t="s">
        <v>99</v>
      </c>
      <c r="E397" t="s">
        <v>1266</v>
      </c>
      <c r="F397" t="s">
        <v>101</v>
      </c>
      <c r="G397" t="s">
        <v>18</v>
      </c>
      <c r="H397" t="s">
        <v>214</v>
      </c>
      <c r="I397" t="s">
        <v>215</v>
      </c>
      <c r="J397" t="s">
        <v>21</v>
      </c>
      <c r="K397" s="2">
        <v>51</v>
      </c>
      <c r="L397" s="2" t="str">
        <f>"00.06.11"</f>
        <v>00.06.11</v>
      </c>
    </row>
    <row r="398" spans="1:12" x14ac:dyDescent="0.25">
      <c r="A398">
        <v>395</v>
      </c>
      <c r="B398">
        <v>21299</v>
      </c>
      <c r="C398" t="s">
        <v>139</v>
      </c>
      <c r="D398" t="s">
        <v>261</v>
      </c>
      <c r="E398" t="s">
        <v>141</v>
      </c>
      <c r="F398" t="s">
        <v>263</v>
      </c>
      <c r="G398" t="s">
        <v>18</v>
      </c>
      <c r="H398" t="s">
        <v>1267</v>
      </c>
      <c r="I398" t="s">
        <v>1268</v>
      </c>
      <c r="J398" t="s">
        <v>86</v>
      </c>
      <c r="K398" s="2">
        <v>30</v>
      </c>
      <c r="L398" s="2" t="str">
        <f>"00.06.10"</f>
        <v>00.06.10</v>
      </c>
    </row>
    <row r="399" spans="1:12" x14ac:dyDescent="0.25">
      <c r="A399">
        <v>396</v>
      </c>
      <c r="B399">
        <v>21300</v>
      </c>
      <c r="C399" t="s">
        <v>1269</v>
      </c>
      <c r="D399" t="s">
        <v>99</v>
      </c>
      <c r="E399" t="s">
        <v>1270</v>
      </c>
      <c r="F399" t="s">
        <v>101</v>
      </c>
      <c r="G399" t="s">
        <v>18</v>
      </c>
      <c r="H399" t="s">
        <v>883</v>
      </c>
      <c r="I399" t="s">
        <v>884</v>
      </c>
      <c r="J399" t="s">
        <v>21</v>
      </c>
      <c r="K399" s="2">
        <v>19</v>
      </c>
      <c r="L399" s="2" t="str">
        <f>"00.06.06"</f>
        <v>00.06.06</v>
      </c>
    </row>
    <row r="400" spans="1:12" x14ac:dyDescent="0.25">
      <c r="A400">
        <v>397</v>
      </c>
      <c r="B400">
        <v>21302</v>
      </c>
      <c r="C400" t="s">
        <v>1271</v>
      </c>
      <c r="D400" t="s">
        <v>1272</v>
      </c>
      <c r="E400" t="s">
        <v>1273</v>
      </c>
      <c r="F400" t="s">
        <v>1274</v>
      </c>
      <c r="G400" t="s">
        <v>18</v>
      </c>
      <c r="H400" t="s">
        <v>127</v>
      </c>
      <c r="I400" t="s">
        <v>128</v>
      </c>
      <c r="J400" t="s">
        <v>21</v>
      </c>
      <c r="K400" s="2">
        <v>32</v>
      </c>
      <c r="L400" s="2" t="str">
        <f>"00.06.06"</f>
        <v>00.06.06</v>
      </c>
    </row>
    <row r="401" spans="1:12" x14ac:dyDescent="0.25">
      <c r="A401">
        <v>398</v>
      </c>
      <c r="B401">
        <v>21303</v>
      </c>
      <c r="C401" t="s">
        <v>157</v>
      </c>
      <c r="D401" t="s">
        <v>1275</v>
      </c>
      <c r="E401" t="s">
        <v>158</v>
      </c>
      <c r="F401" t="s">
        <v>1276</v>
      </c>
      <c r="G401" t="s">
        <v>18</v>
      </c>
      <c r="H401" t="s">
        <v>487</v>
      </c>
      <c r="I401" t="s">
        <v>488</v>
      </c>
      <c r="J401" t="s">
        <v>21</v>
      </c>
      <c r="K401" s="2">
        <v>59</v>
      </c>
      <c r="L401" s="2" t="str">
        <f>"00.05.21"</f>
        <v>00.05.21</v>
      </c>
    </row>
    <row r="402" spans="1:12" x14ac:dyDescent="0.25">
      <c r="A402">
        <v>399</v>
      </c>
      <c r="B402">
        <v>21304</v>
      </c>
      <c r="C402" t="s">
        <v>1277</v>
      </c>
      <c r="D402" t="s">
        <v>792</v>
      </c>
      <c r="E402" t="s">
        <v>1278</v>
      </c>
      <c r="F402" t="s">
        <v>794</v>
      </c>
      <c r="G402" t="s">
        <v>18</v>
      </c>
      <c r="H402" t="s">
        <v>1053</v>
      </c>
      <c r="I402" t="s">
        <v>265</v>
      </c>
      <c r="J402" t="s">
        <v>21</v>
      </c>
      <c r="K402" s="2">
        <v>22</v>
      </c>
      <c r="L402" s="2" t="str">
        <f>"00.05.22"</f>
        <v>00.05.22</v>
      </c>
    </row>
    <row r="403" spans="1:12" x14ac:dyDescent="0.25">
      <c r="A403">
        <v>400</v>
      </c>
      <c r="B403">
        <v>21305</v>
      </c>
      <c r="C403" t="s">
        <v>1279</v>
      </c>
      <c r="D403" t="s">
        <v>680</v>
      </c>
      <c r="E403" t="s">
        <v>1280</v>
      </c>
      <c r="F403" t="s">
        <v>682</v>
      </c>
      <c r="G403" t="s">
        <v>56</v>
      </c>
      <c r="H403" t="s">
        <v>1281</v>
      </c>
      <c r="I403" t="s">
        <v>1282</v>
      </c>
      <c r="J403" t="s">
        <v>86</v>
      </c>
      <c r="K403" s="2">
        <v>43</v>
      </c>
      <c r="L403" s="2" t="str">
        <f>"00.05.10"</f>
        <v>00.05.10</v>
      </c>
    </row>
    <row r="404" spans="1:12" x14ac:dyDescent="0.25">
      <c r="A404">
        <v>401</v>
      </c>
      <c r="B404">
        <v>21306</v>
      </c>
      <c r="C404" t="s">
        <v>1283</v>
      </c>
      <c r="D404" t="s">
        <v>1284</v>
      </c>
      <c r="E404" t="s">
        <v>1285</v>
      </c>
      <c r="F404" t="s">
        <v>1286</v>
      </c>
      <c r="G404" t="s">
        <v>56</v>
      </c>
      <c r="H404" t="s">
        <v>1263</v>
      </c>
      <c r="I404" t="s">
        <v>1264</v>
      </c>
      <c r="J404" t="s">
        <v>63</v>
      </c>
      <c r="K404" s="2">
        <v>24</v>
      </c>
      <c r="L404" s="2" t="str">
        <f>"00.04.17"</f>
        <v>00.04.17</v>
      </c>
    </row>
    <row r="405" spans="1:12" x14ac:dyDescent="0.25">
      <c r="A405">
        <v>402</v>
      </c>
      <c r="B405">
        <v>21307</v>
      </c>
      <c r="C405" t="s">
        <v>1287</v>
      </c>
      <c r="D405" t="s">
        <v>1288</v>
      </c>
      <c r="E405" t="s">
        <v>1289</v>
      </c>
      <c r="F405" t="s">
        <v>1290</v>
      </c>
      <c r="G405" t="s">
        <v>56</v>
      </c>
      <c r="H405" t="s">
        <v>1009</v>
      </c>
      <c r="I405" t="s">
        <v>1010</v>
      </c>
      <c r="J405" t="s">
        <v>63</v>
      </c>
      <c r="K405" s="2">
        <v>24</v>
      </c>
      <c r="L405" s="2" t="str">
        <f>"00.04.15"</f>
        <v>00.04.15</v>
      </c>
    </row>
    <row r="406" spans="1:12" x14ac:dyDescent="0.25">
      <c r="A406">
        <v>403</v>
      </c>
      <c r="B406">
        <v>21308</v>
      </c>
      <c r="C406" t="s">
        <v>1291</v>
      </c>
      <c r="D406" t="s">
        <v>1206</v>
      </c>
      <c r="E406" t="s">
        <v>1292</v>
      </c>
      <c r="F406" t="s">
        <v>1208</v>
      </c>
      <c r="G406" t="s">
        <v>56</v>
      </c>
      <c r="H406" t="s">
        <v>939</v>
      </c>
      <c r="I406" t="s">
        <v>940</v>
      </c>
      <c r="J406" t="s">
        <v>86</v>
      </c>
      <c r="K406" s="2">
        <v>24</v>
      </c>
      <c r="L406" s="2" t="str">
        <f>"00.04.15"</f>
        <v>00.04.15</v>
      </c>
    </row>
    <row r="407" spans="1:12" x14ac:dyDescent="0.25">
      <c r="A407">
        <v>404</v>
      </c>
      <c r="B407">
        <v>21309</v>
      </c>
      <c r="C407" t="s">
        <v>1293</v>
      </c>
      <c r="D407" t="s">
        <v>146</v>
      </c>
      <c r="E407" t="s">
        <v>1294</v>
      </c>
      <c r="F407" t="s">
        <v>148</v>
      </c>
      <c r="G407" t="s">
        <v>18</v>
      </c>
      <c r="H407" t="s">
        <v>487</v>
      </c>
      <c r="I407" t="s">
        <v>488</v>
      </c>
      <c r="J407" t="s">
        <v>21</v>
      </c>
      <c r="K407" s="2">
        <v>30</v>
      </c>
      <c r="L407" s="2" t="str">
        <f>"00.04.10"</f>
        <v>00.04.10</v>
      </c>
    </row>
    <row r="408" spans="1:12" x14ac:dyDescent="0.25">
      <c r="A408">
        <v>405</v>
      </c>
      <c r="B408">
        <v>21310</v>
      </c>
      <c r="C408" t="s">
        <v>368</v>
      </c>
      <c r="D408" t="s">
        <v>792</v>
      </c>
      <c r="E408" t="s">
        <v>369</v>
      </c>
      <c r="F408" t="s">
        <v>794</v>
      </c>
      <c r="G408" t="s">
        <v>18</v>
      </c>
      <c r="H408" t="s">
        <v>264</v>
      </c>
      <c r="I408" t="s">
        <v>265</v>
      </c>
      <c r="J408" t="s">
        <v>21</v>
      </c>
      <c r="K408" s="2">
        <v>20</v>
      </c>
      <c r="L408" s="2" t="str">
        <f>"00.03.10"</f>
        <v>00.03.10</v>
      </c>
    </row>
    <row r="409" spans="1:12" x14ac:dyDescent="0.25">
      <c r="A409">
        <v>406</v>
      </c>
      <c r="B409">
        <v>21311</v>
      </c>
      <c r="C409" t="s">
        <v>1295</v>
      </c>
      <c r="D409" t="s">
        <v>77</v>
      </c>
      <c r="E409" t="s">
        <v>1296</v>
      </c>
      <c r="F409" t="s">
        <v>79</v>
      </c>
      <c r="G409" t="s">
        <v>56</v>
      </c>
      <c r="H409" t="s">
        <v>1177</v>
      </c>
      <c r="I409" t="s">
        <v>1178</v>
      </c>
      <c r="J409" t="s">
        <v>63</v>
      </c>
      <c r="K409" s="2">
        <v>51</v>
      </c>
      <c r="L409" s="2" t="str">
        <f>"00.03.10"</f>
        <v>00.03.10</v>
      </c>
    </row>
    <row r="410" spans="1:12" x14ac:dyDescent="0.25">
      <c r="A410">
        <v>407</v>
      </c>
      <c r="B410">
        <v>21312</v>
      </c>
      <c r="C410" t="s">
        <v>776</v>
      </c>
      <c r="D410" t="s">
        <v>1297</v>
      </c>
      <c r="E410" t="s">
        <v>778</v>
      </c>
      <c r="F410" t="s">
        <v>1298</v>
      </c>
      <c r="G410" t="s">
        <v>18</v>
      </c>
      <c r="H410" t="s">
        <v>248</v>
      </c>
      <c r="I410" t="s">
        <v>249</v>
      </c>
      <c r="J410" t="s">
        <v>21</v>
      </c>
      <c r="K410" s="2">
        <v>27</v>
      </c>
      <c r="L410" s="2" t="str">
        <f>"00.03.10"</f>
        <v>00.03.10</v>
      </c>
    </row>
    <row r="411" spans="1:12" x14ac:dyDescent="0.25">
      <c r="A411">
        <v>408</v>
      </c>
      <c r="B411">
        <v>21313</v>
      </c>
      <c r="C411" t="s">
        <v>1299</v>
      </c>
      <c r="D411" t="s">
        <v>1300</v>
      </c>
      <c r="E411" t="s">
        <v>1301</v>
      </c>
      <c r="F411" t="s">
        <v>1302</v>
      </c>
      <c r="G411" t="s">
        <v>18</v>
      </c>
      <c r="H411" t="s">
        <v>74</v>
      </c>
      <c r="I411" t="s">
        <v>75</v>
      </c>
      <c r="J411" t="s">
        <v>21</v>
      </c>
      <c r="K411" s="2">
        <v>61</v>
      </c>
      <c r="L411" s="2" t="str">
        <f>"00.03.10"</f>
        <v>00.03.10</v>
      </c>
    </row>
    <row r="412" spans="1:12" x14ac:dyDescent="0.25">
      <c r="A412">
        <v>409</v>
      </c>
      <c r="B412">
        <v>21314</v>
      </c>
      <c r="C412" t="s">
        <v>635</v>
      </c>
      <c r="D412" t="s">
        <v>1159</v>
      </c>
      <c r="E412" t="s">
        <v>637</v>
      </c>
      <c r="F412" t="s">
        <v>1160</v>
      </c>
      <c r="G412" t="s">
        <v>18</v>
      </c>
      <c r="H412" t="s">
        <v>883</v>
      </c>
      <c r="I412" t="s">
        <v>884</v>
      </c>
      <c r="J412" t="s">
        <v>21</v>
      </c>
      <c r="K412" s="2">
        <v>34</v>
      </c>
      <c r="L412" s="2" t="str">
        <f>"00.02.09"</f>
        <v>00.02.09</v>
      </c>
    </row>
    <row r="413" spans="1:12" x14ac:dyDescent="0.25">
      <c r="A413">
        <v>410</v>
      </c>
      <c r="B413">
        <v>21315</v>
      </c>
      <c r="C413" t="s">
        <v>1303</v>
      </c>
      <c r="D413" t="s">
        <v>1304</v>
      </c>
      <c r="E413" t="s">
        <v>1305</v>
      </c>
      <c r="F413" t="s">
        <v>1306</v>
      </c>
      <c r="G413" t="s">
        <v>56</v>
      </c>
      <c r="H413" t="s">
        <v>939</v>
      </c>
      <c r="I413" t="s">
        <v>940</v>
      </c>
      <c r="J413" t="s">
        <v>86</v>
      </c>
      <c r="K413" s="2">
        <v>26</v>
      </c>
      <c r="L413" s="2" t="str">
        <f>"00.01.20"</f>
        <v>00.01.20</v>
      </c>
    </row>
    <row r="414" spans="1:12" x14ac:dyDescent="0.25">
      <c r="A414">
        <v>411</v>
      </c>
      <c r="B414">
        <v>21316</v>
      </c>
      <c r="C414" t="s">
        <v>1307</v>
      </c>
      <c r="D414" t="s">
        <v>217</v>
      </c>
      <c r="E414" t="s">
        <v>1308</v>
      </c>
      <c r="F414" t="s">
        <v>219</v>
      </c>
      <c r="G414" t="s">
        <v>18</v>
      </c>
      <c r="H414" t="s">
        <v>1157</v>
      </c>
      <c r="I414" t="s">
        <v>1158</v>
      </c>
      <c r="J414" t="s">
        <v>86</v>
      </c>
      <c r="K414" s="2">
        <v>46</v>
      </c>
      <c r="L414" s="2" t="str">
        <f>"00.01.27"</f>
        <v>00.01.27</v>
      </c>
    </row>
    <row r="415" spans="1:12" x14ac:dyDescent="0.25">
      <c r="A415">
        <v>412</v>
      </c>
      <c r="B415">
        <v>21317</v>
      </c>
      <c r="C415" t="s">
        <v>1309</v>
      </c>
      <c r="D415" t="s">
        <v>223</v>
      </c>
      <c r="E415" t="s">
        <v>1310</v>
      </c>
      <c r="F415" t="s">
        <v>225</v>
      </c>
      <c r="G415" t="s">
        <v>18</v>
      </c>
      <c r="H415" t="s">
        <v>127</v>
      </c>
      <c r="I415" t="s">
        <v>128</v>
      </c>
      <c r="J415" t="s">
        <v>21</v>
      </c>
      <c r="K415" s="2">
        <v>41</v>
      </c>
      <c r="L415" s="2" t="str">
        <f>"00.01.08"</f>
        <v>00.01.08</v>
      </c>
    </row>
    <row r="416" spans="1:12" x14ac:dyDescent="0.25">
      <c r="A416">
        <v>413</v>
      </c>
      <c r="B416">
        <v>21318</v>
      </c>
      <c r="C416" t="s">
        <v>1311</v>
      </c>
      <c r="D416" t="s">
        <v>1312</v>
      </c>
      <c r="E416" t="s">
        <v>1313</v>
      </c>
      <c r="F416" t="s">
        <v>1314</v>
      </c>
      <c r="G416" t="s">
        <v>18</v>
      </c>
      <c r="H416" t="s">
        <v>106</v>
      </c>
      <c r="I416" t="s">
        <v>107</v>
      </c>
      <c r="J416" t="s">
        <v>21</v>
      </c>
      <c r="K416" s="2">
        <v>23</v>
      </c>
      <c r="L416" s="2" t="str">
        <f>"00.00.10"</f>
        <v>00.00.10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Pregled_na_SISTEMATIZACIJA_na_v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Ristovski, Robert</dc:creator>
  <cp:lastModifiedBy>Ristovski  Robert</cp:lastModifiedBy>
  <dcterms:created xsi:type="dcterms:W3CDTF">2025-11-11T11:08:12Z</dcterms:created>
  <dcterms:modified xsi:type="dcterms:W3CDTF">2025-11-18T08:27:28Z</dcterms:modified>
</cp:coreProperties>
</file>